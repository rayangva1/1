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Mode d'emploi" sheetId="1" state="visible" r:id="rId3"/>
    <sheet name="Paramètres" sheetId="2" state="visible" r:id="rId4"/>
    <sheet name="Fournisseurs" sheetId="3" state="visible" r:id="rId5"/>
    <sheet name="Offres" sheetId="4" state="visible" r:id="rId6"/>
    <sheet name="Classement" sheetId="5" state="visible" r:id="rId7"/>
    <sheet name="Synthèse fournisseur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<sst xmlns="http://schemas.openxmlformats.org/spreadsheetml/2006/main" count="610" uniqueCount="227">
  <si>
    <t xml:space="preserve">Comparateur d'offres fournisseurs — {{NOM_BOUTIQUE}}</t>
  </si>
  <si>
    <t xml:space="preserve">AUCUN PRIX RÉEL. Seules les lignes marquées FICTIF (fournisseurs FICTIF_FOURNISSEUR_A et _B, référence FICTIF_R00) sont remplies, pour montrer le calcul. Les supprimer avant usage réel.</t>
  </si>
  <si>
    <t xml:space="preserve">Source : BP du 4.10.2026, §1 (devis sur les mêmes références), §2 (demande commerciale), §4 (coût rendu et prix plancher), §5 (règles), §13 (même panier aux 3 fournisseurs FR).</t>
  </si>
  <si>
    <t xml:space="preserve">Paramètres de prix : config/pricing_rules.v1.yaml, version v1-2026-10-04 (hypothèses BP §4-5, à confirmer par devis).</t>
  </si>
  <si>
    <t xml:space="preserve">MODE D'EMPLOI</t>
  </si>
  <si>
    <t xml:space="preserve">1. Paramètres : choisir le mode TVA de l'entité (B4) selon la décision de la fiduciaire (B10). Les autres valeurs viennent du fichier de règles : ne les modifier qu'en créant une nouvelle version.</t>
  </si>
  <si>
    <t xml:space="preserve">2. Fournisseurs : une ligne par fournisseur. Saisir pays d'expédition, devise, taux de change vers CHF (source + date), TVA facturée par le fournisseur (0 si facture d'export HT) et son pays, port amont et frais fixes de la commande (en devise), frais de dédouanement (CHF). Une case vide = fournisseur INCOMPLET.</t>
  </si>
  <si>
    <t xml:space="preserve">3. Offres : une ligne par couple (référence, fournisseur), à partir du devis écrit. Saisir unités par conditionnement, prix du conditionnement, HT ou TTC, remise du palier atteint pour la quantité commandée, quantité commandée (en conditionnements), MOQ, disponibilité, allocation ferme, et la référence marché (médiane du prix total livré, docs/01-marche/GRILLE_CONCURRENCE.csv).</t>
  </si>
  <si>
    <t xml:space="preserve">4. Les colonnes grises se calculent seules : coût rendu C par unité (CHF), prix plancher, écart au marché, contribution au prix marché, statut, rang.</t>
  </si>
  <si>
    <t xml:space="preserve">5. Classement : meilleur et 2e fournisseur par référence. Synthèse fournisseurs : couverture du panier, valeur de la commande, minimum de commande atteint.</t>
  </si>
  <si>
    <t xml:space="preserve">RÈGLES DE CALCUL (identiques au moteur pokeshop.pricing)</t>
  </si>
  <si>
    <t xml:space="preserve">C = achat HT unitaire en CHF + TVA fournisseur non récupérable + port et frais ventilés + dédouanement ventilé + TVA import (seulement si NOT_REGISTERED). La TVA fournisseur n'est récupérable que si elle est suisse ET l'entité assujettie (EFFECTIVE). Port, frais et dédouanement sont ventilés au prorata de la valeur HT des lignes du même fournisseur. Droits de douane = 0 (produits industriels, depuis le 1.1.2024).</t>
  </si>
  <si>
    <t xml:space="preserve">TVA import = (achat HT + port + dédouanement) × taux : ESTIMATION à remplacer par le décompte OFDF.</t>
  </si>
  <si>
    <t xml:space="preserve">Prix plancher P = (C + b + L + R + A) / ((1 − m)/(1 + t) − r)  (BP §4).</t>
  </si>
  <si>
    <t xml:space="preserve">Statut : OK si P ≤ marché × (1 + seuil) ; À REVOIR si au prix marché la contribution reste ≥ plancher dur (12 % et 8 CHF) ; NON RENTABLE sinon ; INCOMPLET si un champ manque (= brouillon, BP §5).</t>
  </si>
  <si>
    <t xml:space="preserve">CODES COULEUR</t>
  </si>
  <si>
    <t xml:space="preserve">Jaune, texte bleu : saisie. Gris : formule (ne pas modifier). Orange : ligne FICTIF.</t>
  </si>
  <si>
    <t xml:space="preserve">Généré par docs/02-sourcing/outils/generer_comparateur.py ; recalculé par LibreOffice ; contrôlé par test_comparateur_offres.py.</t>
  </si>
  <si>
    <t xml:space="preserve">VALIDATION HUMAINE REQUISE</t>
  </si>
  <si>
    <t xml:space="preserve">- Confirmer le mode TVA (B4) avec la fiduciaire avant toute décision d'achat.</t>
  </si>
  <si>
    <t xml:space="preserve">- Vérifier chaque devis saisi (prix, HT/TTC, devise, conditionnement) avant le gate G3.</t>
  </si>
  <si>
    <t xml:space="preserve">- Valider le fournisseur retenu par référence (C08) ; le classement est une aide, pas une décision.</t>
  </si>
  <si>
    <t xml:space="preserve">Paramètres de calcul</t>
  </si>
  <si>
    <t xml:space="preserve">Source : config/pricing_rules.v1.yaml (v1-2026-10-04) — hypothèses BP §4-5, à confirmer.</t>
  </si>
  <si>
    <t xml:space="preserve">Paramètre</t>
  </si>
  <si>
    <t xml:space="preserve">Valeur</t>
  </si>
  <si>
    <t xml:space="preserve">Note</t>
  </si>
  <si>
    <t xml:space="preserve">Mode TVA de l'entité (EFFECTIVE / NOT_REGISTERED)</t>
  </si>
  <si>
    <t xml:space="preserve">EFFECTIVE</t>
  </si>
  <si>
    <t xml:space="preserve">Décision de la fiduciaire (B10). EFFECTIVE = hypothèse du BP §10.</t>
  </si>
  <si>
    <t xml:space="preserve">t — TVA sur ventes</t>
  </si>
  <si>
    <t xml:space="preserve">0 si non assujetti (BP §4).</t>
  </si>
  <si>
    <t xml:space="preserve">r — frais de paiement proportionnels</t>
  </si>
  <si>
    <t xml:space="preserve">Hypothèse BP §4 ; contrat PSP.</t>
  </si>
  <si>
    <t xml:space="preserve">b — frais fixes de paiement (CHF/commande)</t>
  </si>
  <si>
    <t xml:space="preserve">Hypothèse BP §4.</t>
  </si>
  <si>
    <t xml:space="preserve">L — logistique nette (CHF/commande)</t>
  </si>
  <si>
    <t xml:space="preserve">Hypothèse BP §4 ; devis transporteur.</t>
  </si>
  <si>
    <t xml:space="preserve">R — provision SAV (CHF/commande)</t>
  </si>
  <si>
    <t xml:space="preserve">A — acquisition attribuée (CHF/commande)</t>
  </si>
  <si>
    <t xml:space="preserve">m — contribution cible (% du CA net)</t>
  </si>
  <si>
    <t xml:space="preserve">BP §5.</t>
  </si>
  <si>
    <t xml:space="preserve">Seuil « au-dessus du marché »</t>
  </si>
  <si>
    <t xml:space="preserve">BP §5 : &gt; 10 % ⇒ à revoir.</t>
  </si>
  <si>
    <t xml:space="preserve">Taux normal de TVA suisse</t>
  </si>
  <si>
    <t xml:space="preserve">Au 4.10.2026 [S6] ; à confirmer.</t>
  </si>
  <si>
    <t xml:space="preserve">Taux de TVA à l'importation (estimation)</t>
  </si>
  <si>
    <t xml:space="preserve">Estimation ; la base réelle se lit sur le décompte OFDF [S7].</t>
  </si>
  <si>
    <t xml:space="preserve">Plancher dur (% du CA net)</t>
  </si>
  <si>
    <t xml:space="preserve">BP §5 = stop-loss produit.</t>
  </si>
  <si>
    <t xml:space="preserve">Plancher dur (CHF/commande)</t>
  </si>
  <si>
    <t xml:space="preserve">Version des règles</t>
  </si>
  <si>
    <t xml:space="preserve">v1-2026-10-04</t>
  </si>
  <si>
    <t xml:space="preserve">Recopiée dans chaque décision de prix.</t>
  </si>
  <si>
    <t xml:space="preserve">Fournisseurs — conditions communes à toutes les lignes d'un même fournisseur</t>
  </si>
  <si>
    <t xml:space="preserve">Aucune donnée réelle : les 6 fournisseurs du BP (et la piste hors BP) sont à compléter à réception des devis. Lignes orange = FICTIF.</t>
  </si>
  <si>
    <t xml:space="preserve">Fournisseur</t>
  </si>
  <si>
    <t xml:space="preserve">Pays d'expédition (ISO2)</t>
  </si>
  <si>
    <t xml:space="preserve">Devise</t>
  </si>
  <si>
    <t xml:space="preserve">Taux → CHF (CHF pour 1 unité)</t>
  </si>
  <si>
    <t xml:space="preserve">Source du taux</t>
  </si>
  <si>
    <t xml:space="preserve">Date du taux</t>
  </si>
  <si>
    <t xml:space="preserve">TVA facturée par le fournisseur (taux)</t>
  </si>
  <si>
    <t xml:space="preserve">Pays de cette TVA (ISO2)</t>
  </si>
  <si>
    <t xml:space="preserve">Incoterm</t>
  </si>
  <si>
    <t xml:space="preserve">Port amont total de la commande (devise)</t>
  </si>
  <si>
    <t xml:space="preserve">Frais fixes de commande (devise)</t>
  </si>
  <si>
    <t xml:space="preserve">Dédouanement / transitaire total (CHF)</t>
  </si>
  <si>
    <t xml:space="preserve">Minimum de commande (devise)</t>
  </si>
  <si>
    <t xml:space="preserve">Délai annoncé (jours ouvrés)</t>
  </si>
  <si>
    <t xml:space="preserve">Paiement</t>
  </si>
  <si>
    <t xml:space="preserve">Flux de données</t>
  </si>
  <si>
    <t xml:space="preserve">Exemple de fichier reçu (O/N)</t>
  </si>
  <si>
    <t xml:space="preserve">Statut</t>
  </si>
  <si>
    <t xml:space="preserve">Fictif (O/N)</t>
  </si>
  <si>
    <t xml:space="preserve">Complet (calculé)</t>
  </si>
  <si>
    <t xml:space="preserve">Asmodee France</t>
  </si>
  <si>
    <t xml:space="preserve">non contacté</t>
  </si>
  <si>
    <t xml:space="preserve">N</t>
  </si>
  <si>
    <t xml:space="preserve">Matoo et Miao</t>
  </si>
  <si>
    <t xml:space="preserve">TCG Distribution</t>
  </si>
  <si>
    <t xml:space="preserve">OtakuWorld</t>
  </si>
  <si>
    <t xml:space="preserve">CardCosmos</t>
  </si>
  <si>
    <t xml:space="preserve">Carletto AG (hors BP)</t>
  </si>
  <si>
    <t xml:space="preserve">FICTIF_FOURNISSEUR_A</t>
  </si>
  <si>
    <t xml:space="preserve">FR</t>
  </si>
  <si>
    <t xml:space="preserve">EUR</t>
  </si>
  <si>
    <t xml:space="preserve">FICTIF – exemple</t>
  </si>
  <si>
    <t xml:space="preserve">DAP</t>
  </si>
  <si>
    <t xml:space="preserve">Prépaiement</t>
  </si>
  <si>
    <t xml:space="preserve">CSV</t>
  </si>
  <si>
    <t xml:space="preserve">FICTIF</t>
  </si>
  <si>
    <t xml:space="preserve">O</t>
  </si>
  <si>
    <t xml:space="preserve">FICTIF_FOURNISSEUR_B</t>
  </si>
  <si>
    <t xml:space="preserve">CH</t>
  </si>
  <si>
    <t xml:space="preserve">CHF</t>
  </si>
  <si>
    <t xml:space="preserve">CHF (aucune conversion)</t>
  </si>
  <si>
    <t xml:space="preserve">30 jours</t>
  </si>
  <si>
    <t xml:space="preserve">XLSX</t>
  </si>
  <si>
    <t xml:space="preserve">Offres — une ligne par couple (référence, fournisseur), à partir d'un devis écrit</t>
  </si>
  <si>
    <t xml:space="preserve">Aucun prix réel. Lignes 6-7 = exemple FICTIF. Lignes suivantes = panier pilote pré-rempli pour les 3 fournisseurs FR prioritaires (BP §13), à compléter avec leurs devis.</t>
  </si>
  <si>
    <t xml:space="preserve">Saisie : colonnes A à S (jaune). Calcul : colonnes T à AT (gris).</t>
  </si>
  <si>
    <t xml:space="preserve">ref_id</t>
  </si>
  <si>
    <t xml:space="preserve">Désignation (format + extension + langue)</t>
  </si>
  <si>
    <t xml:space="preserve">SKU fournisseur</t>
  </si>
  <si>
    <t xml:space="preserve">EAN / GTIN</t>
  </si>
  <si>
    <t xml:space="preserve">Langue confirmée</t>
  </si>
  <si>
    <t xml:space="preserve">Extension</t>
  </si>
  <si>
    <t xml:space="preserve">Format</t>
  </si>
  <si>
    <t xml:space="preserve">Unités par conditionnement</t>
  </si>
  <si>
    <t xml:space="preserve">Prix du conditionnement (devise, avant remise)</t>
  </si>
  <si>
    <t xml:space="preserve">Base de prix (HT/TTC)</t>
  </si>
  <si>
    <t xml:space="preserve">Remise du palier atteint (fraction)</t>
  </si>
  <si>
    <t xml:space="preserve">Quantité commandée (conditionnements)</t>
  </si>
  <si>
    <t xml:space="preserve">MOQ (conditionnements)</t>
  </si>
  <si>
    <t xml:space="preserve">Disponibilité annoncée (unités)</t>
  </si>
  <si>
    <t xml:space="preserve">Allocation ferme (O/N)</t>
  </si>
  <si>
    <t xml:space="preserve">Date de dispo / sortie</t>
  </si>
  <si>
    <t xml:space="preserve">Prix marché observé TTC (CHF, médiane)</t>
  </si>
  <si>
    <t xml:space="preserve">Taux → CHF</t>
  </si>
  <si>
    <t xml:space="preserve">TVA fournisseur (taux)</t>
  </si>
  <si>
    <t xml:space="preserve">Pays TVA</t>
  </si>
  <si>
    <t xml:space="preserve">Pays d'expédition</t>
  </si>
  <si>
    <t xml:space="preserve">Complet (1/0)</t>
  </si>
  <si>
    <t xml:space="preserve">Prix cond. après remise (devise)</t>
  </si>
  <si>
    <t xml:space="preserve">Prix HT cond. (devise)</t>
  </si>
  <si>
    <t xml:space="preserve">TVA fournisseur cond. (devise)</t>
  </si>
  <si>
    <t xml:space="preserve">Valeur ligne HT (CHF)</t>
  </si>
  <si>
    <t xml:space="preserve">Part de la commande fournisseur</t>
  </si>
  <si>
    <t xml:space="preserve">Port + frais ventilés / unité (CHF)</t>
  </si>
  <si>
    <t xml:space="preserve">Dédouanement ventilé / unité (CHF)</t>
  </si>
  <si>
    <t xml:space="preserve">Achat HT / unité (CHF)</t>
  </si>
  <si>
    <t xml:space="preserve">TVA fournisseur / unité (CHF)</t>
  </si>
  <si>
    <t xml:space="preserve">TVA fournisseur récupérable (1/0)</t>
  </si>
  <si>
    <t xml:space="preserve">TVA import estimée / unité (CHF)</t>
  </si>
  <si>
    <t xml:space="preserve">COÛT RENDU C / unité (CHF)</t>
  </si>
  <si>
    <t xml:space="preserve">Prix plancher TTC (CHF)</t>
  </si>
  <si>
    <t xml:space="preserve">Écart plancher / marché</t>
  </si>
  <si>
    <t xml:space="preserve">Contribution au prix marché (CHF)</t>
  </si>
  <si>
    <t xml:space="preserve">Contribution au prix marché (% CA net)</t>
  </si>
  <si>
    <t xml:space="preserve">Alertes</t>
  </si>
  <si>
    <t xml:space="preserve">Rang (1 = moins cher)</t>
  </si>
  <si>
    <t xml:space="preserve">Clé de classement</t>
  </si>
  <si>
    <t xml:space="preserve">Total ligne rendu (CHF)</t>
  </si>
  <si>
    <t xml:space="preserve">FICTIF_R00</t>
  </si>
  <si>
    <t xml:space="preserve">FICTIF – ETB d'exemple (aucun produit réel)</t>
  </si>
  <si>
    <t xml:space="preserve">FICTIF-A-001</t>
  </si>
  <si>
    <t xml:space="preserve">2000000001012</t>
  </si>
  <si>
    <t xml:space="preserve">etb</t>
  </si>
  <si>
    <t xml:space="preserve">HT</t>
  </si>
  <si>
    <t xml:space="preserve">FICTIF-B-001</t>
  </si>
  <si>
    <t xml:space="preserve">TTC</t>
  </si>
  <si>
    <t xml:space="preserve">REF-06</t>
  </si>
  <si>
    <t xml:space="preserve">Display 36 boosters Méga-Évolution – Nuit Noire (ME05) – FR</t>
  </si>
  <si>
    <t xml:space="preserve">Méga-Évolution – Nuit Noire</t>
  </si>
  <si>
    <t xml:space="preserve">display</t>
  </si>
  <si>
    <t xml:space="preserve">REF-09</t>
  </si>
  <si>
    <t xml:space="preserve">Display 36 boosters Méga-Évolution – Chaos Ascendant – FR</t>
  </si>
  <si>
    <t xml:space="preserve">Méga-Évolution – Chaos Ascendant</t>
  </si>
  <si>
    <t xml:space="preserve">REF-01</t>
  </si>
  <si>
    <t xml:space="preserve">Coffret Dresseur d'Élite (ETB) 30ᵉ Anniversaire – FR</t>
  </si>
  <si>
    <t xml:space="preserve">30ᵉ Anniversaire</t>
  </si>
  <si>
    <t xml:space="preserve">REF-07</t>
  </si>
  <si>
    <t xml:space="preserve">Coffret Dresseur d'Élite (ETB) Méga-Évolution – Nuit Noire – FR</t>
  </si>
  <si>
    <t xml:space="preserve">REF-11</t>
  </si>
  <si>
    <t xml:space="preserve">Coffret Dresseur d'Élite (ETB) Méga-Évolution – Équilibre Parfait – FR</t>
  </si>
  <si>
    <t xml:space="preserve">Méga-Évolution – Équilibre Parfait</t>
  </si>
  <si>
    <t xml:space="preserve">REF-02</t>
  </si>
  <si>
    <t xml:space="preserve">Bundle 30ᵉ Anniversaire – FR</t>
  </si>
  <si>
    <t xml:space="preserve">bundle</t>
  </si>
  <si>
    <t xml:space="preserve">REF-08</t>
  </si>
  <si>
    <t xml:space="preserve">Tripack Méga-Évolution – Nuit Noire – FR</t>
  </si>
  <si>
    <t xml:space="preserve">tripack</t>
  </si>
  <si>
    <t xml:space="preserve">REF-19</t>
  </si>
  <si>
    <t xml:space="preserve">Tripack ou bundle Méga-Évolution – Chaos Ascendant – FR</t>
  </si>
  <si>
    <t xml:space="preserve">REF-04</t>
  </si>
  <si>
    <t xml:space="preserve">Coffret 30ᵉ Anniversaire Nymphali-ex – FR</t>
  </si>
  <si>
    <t xml:space="preserve">coffret</t>
  </si>
  <si>
    <t xml:space="preserve">REF-20</t>
  </si>
  <si>
    <t xml:space="preserve">Coffret ou collection – Équilibre Parfait ou Héros Transcendants – FR</t>
  </si>
  <si>
    <t xml:space="preserve">Méga-Évolution – Équilibre Parfait / Héros Transcendants</t>
  </si>
  <si>
    <t xml:space="preserve">REF-16</t>
  </si>
  <si>
    <t xml:space="preserve">Protège-cartes format standard (paquet)</t>
  </si>
  <si>
    <t xml:space="preserve">accessoire</t>
  </si>
  <si>
    <t xml:space="preserve">REF-17</t>
  </si>
  <si>
    <t xml:space="preserve">Classeur 9 cases</t>
  </si>
  <si>
    <t xml:space="preserve">REF-03</t>
  </si>
  <si>
    <t xml:space="preserve">Mini-Tin 30ᵉ Anniversaire – FR</t>
  </si>
  <si>
    <t xml:space="preserve">REF-05</t>
  </si>
  <si>
    <t xml:space="preserve">Collection Classeur 30ᵉ Anniversaire – FR</t>
  </si>
  <si>
    <t xml:space="preserve">REF-10</t>
  </si>
  <si>
    <t xml:space="preserve">Coffret Dresseur d'Élite (ETB) Méga-Évolution – Chaos Ascendant – FR</t>
  </si>
  <si>
    <t xml:space="preserve">REF-12</t>
  </si>
  <si>
    <t xml:space="preserve">Coffret Dresseur d'Élite (ETB) Méga-Évolution – Héros Transcendants – FR</t>
  </si>
  <si>
    <t xml:space="preserve">Méga-Évolution – Héros Transcendants</t>
  </si>
  <si>
    <t xml:space="preserve">REF-13</t>
  </si>
  <si>
    <t xml:space="preserve">Display 36 boosters Méga-Évolution – Règne Delta (ME06) – FR</t>
  </si>
  <si>
    <t xml:space="preserve">Méga-Évolution – Règne Delta</t>
  </si>
  <si>
    <t xml:space="preserve">REF-14</t>
  </si>
  <si>
    <t xml:space="preserve">Coffret Dresseur d'Élite (ETB) Méga-Évolution – Règne Delta – FR</t>
  </si>
  <si>
    <t xml:space="preserve">REF-15</t>
  </si>
  <si>
    <t xml:space="preserve">Tripack Méga-Évolution – Règne Delta – FR</t>
  </si>
  <si>
    <t xml:space="preserve">REF-18</t>
  </si>
  <si>
    <t xml:space="preserve">Boîte de rangement de deck (deck box)</t>
  </si>
  <si>
    <t xml:space="preserve">Classement par référence — le moins cher en coût rendu C (CHF/unité) est au rang 1</t>
  </si>
  <si>
    <t xml:space="preserve">Aide à la décision : le choix final tient aussi compte de l'allocation, du délai, du flux de données et de la due diligence (C08). En cas d'égalité au rang 1, aucun « 2e » n'est affiché.</t>
  </si>
  <si>
    <t xml:space="preserve">Désignation</t>
  </si>
  <si>
    <t xml:space="preserve">Offres complètes</t>
  </si>
  <si>
    <t xml:space="preserve">Meilleur fournisseur</t>
  </si>
  <si>
    <t xml:space="preserve">C du meilleur (CHF)</t>
  </si>
  <si>
    <t xml:space="preserve">2e fournisseur</t>
  </si>
  <si>
    <t xml:space="preserve">C du 2e (CHF)</t>
  </si>
  <si>
    <t xml:space="preserve">Écart 2e / 1er</t>
  </si>
  <si>
    <t xml:space="preserve">Prix marché (CHF)</t>
  </si>
  <si>
    <t xml:space="preserve">Plancher du meilleur (CHF)</t>
  </si>
  <si>
    <t xml:space="preserve">Statut du meilleur</t>
  </si>
  <si>
    <t xml:space="preserve">Alertes du meilleur</t>
  </si>
  <si>
    <t xml:space="preserve">Synthèse par fournisseur</t>
  </si>
  <si>
    <t xml:space="preserve">Couverture du panier, valeur de la commande, minimum de commande. Les montants ne valent que pour les lignes complètes.</t>
  </si>
  <si>
    <t xml:space="preserve">Lignes complètes</t>
  </si>
  <si>
    <t xml:space="preserve">Lignes incomplètes</t>
  </si>
  <si>
    <t xml:space="preserve">Références au rang 1</t>
  </si>
  <si>
    <t xml:space="preserve">Valeur commande HT (CHF)</t>
  </si>
  <si>
    <t xml:space="preserve">Total rendu (CHF)</t>
  </si>
  <si>
    <t xml:space="preserve">Valeur commande HT (devise)</t>
  </si>
  <si>
    <t xml:space="preserve">Minimum de commande atteint</t>
  </si>
  <si>
    <t xml:space="preserve">Exemple de fichier reçu</t>
  </si>
</sst>
</file>

<file path=xl/styles.xml><?xml version="1.0" encoding="utf-8"?>
<styleSheet xmlns="http://schemas.openxmlformats.org/spreadsheetml/2006/main">
  <numFmts count="7">
    <numFmt numFmtId="164" formatCode="General"/>
    <numFmt numFmtId="165" formatCode="0.0%"/>
    <numFmt numFmtId="166" formatCode="#,##0.00"/>
    <numFmt numFmtId="167" formatCode="0.0000"/>
    <numFmt numFmtId="168" formatCode="yyyy\-mm\-dd"/>
    <numFmt numFmtId="169" formatCode="General"/>
    <numFmt numFmtId="170" formatCode="#,##0.0000"/>
  </numFmts>
  <fonts count="10">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i val="true"/>
      <sz val="11"/>
      <color rgb="FF7F7F7F"/>
      <name val="Cambria"/>
      <family val="0"/>
      <charset val="1"/>
    </font>
    <font>
      <b val="true"/>
      <sz val="11"/>
      <color rgb="FFFFFFFF"/>
      <name val="Cambria"/>
      <family val="0"/>
      <charset val="1"/>
    </font>
    <font>
      <sz val="11"/>
      <color rgb="FF1F4E79"/>
      <name val="Cambria"/>
      <family val="0"/>
      <charset val="1"/>
    </font>
    <font>
      <sz val="11"/>
      <name val="Cambria"/>
      <family val="0"/>
      <charset val="1"/>
    </font>
  </fonts>
  <fills count="6">
    <fill>
      <patternFill patternType="none"/>
    </fill>
    <fill>
      <patternFill patternType="gray125"/>
    </fill>
    <fill>
      <patternFill patternType="solid">
        <fgColor rgb="FF1F2937"/>
        <bgColor rgb="FF333300"/>
      </patternFill>
    </fill>
    <fill>
      <patternFill patternType="solid">
        <fgColor rgb="FFFFF2CC"/>
        <bgColor rgb="FFFCE4D6"/>
      </patternFill>
    </fill>
    <fill>
      <patternFill patternType="solid">
        <fgColor rgb="FFF2F2F2"/>
        <bgColor rgb="FFE7E6E6"/>
      </patternFill>
    </fill>
    <fill>
      <patternFill patternType="solid">
        <fgColor rgb="FFFCE4D6"/>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xf numFmtId="168" fontId="8"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70" fontId="0" fillId="4" borderId="1" xfId="0" applyFont="fals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C6EFCE"/>
        </patternFill>
      </fill>
    </dxf>
    <dxf>
      <fill>
        <patternFill>
          <bgColor rgb="FFFFEB9C"/>
        </patternFill>
      </fill>
    </dxf>
    <dxf>
      <fill>
        <patternFill>
          <bgColor rgb="FFFFC7CE"/>
        </patternFill>
      </fill>
    </dxf>
    <dxf>
      <fill>
        <patternFill>
          <bgColor rgb="FFE7E6E6"/>
        </patternFill>
      </fill>
    </dxf>
    <dxf>
      <font>
        <b val="1"/>
        <color rgb="FF006100"/>
      </font>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FCE4D6"/>
      <rgbColor rgb="FF7F7F7F"/>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7E6E6"/>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7.9" hidden="false" customHeight="false" outlineLevel="0" collapsed="false">
      <c r="A1" s="1" t="s">
        <v>0</v>
      </c>
    </row>
    <row r="2" customFormat="false" ht="28.35" hidden="false" customHeight="false" outlineLevel="0" collapsed="false">
      <c r="A2" s="2" t="s">
        <v>1</v>
      </c>
    </row>
    <row r="3" customFormat="false" ht="28.35" hidden="false" customHeight="false" outlineLevel="0" collapsed="false">
      <c r="A3" s="3" t="s">
        <v>2</v>
      </c>
    </row>
    <row r="4" customFormat="false" ht="15" hidden="false" customHeight="false" outlineLevel="0" collapsed="false">
      <c r="A4" s="3" t="s">
        <v>3</v>
      </c>
    </row>
    <row r="5" customFormat="false" ht="15" hidden="false" customHeight="false" outlineLevel="0" collapsed="false">
      <c r="A5" s="3"/>
    </row>
    <row r="6" customFormat="false" ht="15" hidden="false" customHeight="false" outlineLevel="0" collapsed="false">
      <c r="A6" s="2" t="s">
        <v>4</v>
      </c>
    </row>
    <row r="7" customFormat="false" ht="28.35" hidden="false" customHeight="false" outlineLevel="0" collapsed="false">
      <c r="A7" s="3" t="s">
        <v>5</v>
      </c>
    </row>
    <row r="8" customFormat="false" ht="41.75" hidden="false" customHeight="false" outlineLevel="0" collapsed="false">
      <c r="A8" s="3" t="s">
        <v>6</v>
      </c>
    </row>
    <row r="9" customFormat="false" ht="41.75" hidden="false" customHeight="false" outlineLevel="0" collapsed="false">
      <c r="A9" s="3" t="s">
        <v>7</v>
      </c>
    </row>
    <row r="10" customFormat="false" ht="28.35" hidden="false" customHeight="false" outlineLevel="0" collapsed="false">
      <c r="A10" s="3" t="s">
        <v>8</v>
      </c>
    </row>
    <row r="11" customFormat="false" ht="28.35" hidden="false" customHeight="false" outlineLevel="0" collapsed="false">
      <c r="A11" s="3" t="s">
        <v>9</v>
      </c>
    </row>
    <row r="12" customFormat="false" ht="15" hidden="false" customHeight="false" outlineLevel="0" collapsed="false">
      <c r="A12" s="3"/>
    </row>
    <row r="13" customFormat="false" ht="15" hidden="false" customHeight="false" outlineLevel="0" collapsed="false">
      <c r="A13" s="2" t="s">
        <v>10</v>
      </c>
    </row>
    <row r="14" customFormat="false" ht="41.75" hidden="false" customHeight="false" outlineLevel="0" collapsed="false">
      <c r="A14" s="3" t="s">
        <v>11</v>
      </c>
    </row>
    <row r="15" customFormat="false" ht="15" hidden="false" customHeight="false" outlineLevel="0" collapsed="false">
      <c r="A15" s="3" t="s">
        <v>12</v>
      </c>
    </row>
    <row r="16" customFormat="false" ht="15" hidden="false" customHeight="false" outlineLevel="0" collapsed="false">
      <c r="A16" s="3" t="s">
        <v>13</v>
      </c>
    </row>
    <row r="17" customFormat="false" ht="28.35" hidden="false" customHeight="false" outlineLevel="0" collapsed="false">
      <c r="A17" s="3" t="s">
        <v>14</v>
      </c>
    </row>
    <row r="18" customFormat="false" ht="15" hidden="false" customHeight="false" outlineLevel="0" collapsed="false">
      <c r="A18" s="3"/>
    </row>
    <row r="19" customFormat="false" ht="15" hidden="false" customHeight="false" outlineLevel="0" collapsed="false">
      <c r="A19" s="2" t="s">
        <v>15</v>
      </c>
    </row>
    <row r="20" customFormat="false" ht="15" hidden="false" customHeight="false" outlineLevel="0" collapsed="false">
      <c r="A20" s="3" t="s">
        <v>16</v>
      </c>
    </row>
    <row r="21" customFormat="false" ht="15" hidden="false" customHeight="false" outlineLevel="0" collapsed="false">
      <c r="A21" s="4" t="s">
        <v>17</v>
      </c>
    </row>
    <row r="22" customFormat="false" ht="15" hidden="false" customHeight="false" outlineLevel="0" collapsed="false">
      <c r="A22" s="3"/>
    </row>
    <row r="23" customFormat="false" ht="15" hidden="false" customHeight="false" outlineLevel="0" collapsed="false">
      <c r="A23" s="2" t="s">
        <v>18</v>
      </c>
    </row>
    <row r="24" customFormat="false" ht="15" hidden="false" customHeight="false" outlineLevel="0" collapsed="false">
      <c r="A24" s="3" t="s">
        <v>19</v>
      </c>
    </row>
    <row r="25" customFormat="false" ht="15" hidden="false" customHeight="false" outlineLevel="0" collapsed="false">
      <c r="A25" s="3" t="s">
        <v>20</v>
      </c>
    </row>
    <row r="26" customFormat="false" ht="15" hidden="false" customHeight="false" outlineLevel="0" collapsed="false">
      <c r="A26"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90"/>
  </cols>
  <sheetData>
    <row r="1" customFormat="false" ht="17.35" hidden="false" customHeight="false" outlineLevel="0" collapsed="false">
      <c r="A1" s="5" t="s">
        <v>22</v>
      </c>
    </row>
    <row r="2" customFormat="false" ht="15" hidden="false" customHeight="false" outlineLevel="0" collapsed="false">
      <c r="A2" s="6" t="s">
        <v>23</v>
      </c>
    </row>
    <row r="3" customFormat="false" ht="48" hidden="false" customHeight="true" outlineLevel="0" collapsed="false">
      <c r="A3" s="7" t="s">
        <v>24</v>
      </c>
      <c r="B3" s="7" t="s">
        <v>25</v>
      </c>
      <c r="C3" s="7" t="s">
        <v>26</v>
      </c>
    </row>
    <row r="4" customFormat="false" ht="15" hidden="false" customHeight="false" outlineLevel="0" collapsed="false">
      <c r="A4" s="8" t="s">
        <v>27</v>
      </c>
      <c r="B4" s="9" t="s">
        <v>28</v>
      </c>
      <c r="C4" s="10" t="s">
        <v>29</v>
      </c>
    </row>
    <row r="5" customFormat="false" ht="15" hidden="false" customHeight="false" outlineLevel="0" collapsed="false">
      <c r="A5" s="8" t="s">
        <v>30</v>
      </c>
      <c r="B5" s="11" t="n">
        <f aca="false">IF(Paramètres!$B$4="EFFECTIVE",Paramètres!$B$13,0)</f>
        <v>0.081</v>
      </c>
      <c r="C5" s="10" t="s">
        <v>31</v>
      </c>
    </row>
    <row r="6" customFormat="false" ht="15" hidden="false" customHeight="false" outlineLevel="0" collapsed="false">
      <c r="A6" s="8" t="s">
        <v>32</v>
      </c>
      <c r="B6" s="12" t="n">
        <v>0.025</v>
      </c>
      <c r="C6" s="10" t="s">
        <v>33</v>
      </c>
    </row>
    <row r="7" customFormat="false" ht="15" hidden="false" customHeight="false" outlineLevel="0" collapsed="false">
      <c r="A7" s="8" t="s">
        <v>34</v>
      </c>
      <c r="B7" s="13" t="n">
        <v>0.3</v>
      </c>
      <c r="C7" s="10" t="s">
        <v>35</v>
      </c>
    </row>
    <row r="8" customFormat="false" ht="15" hidden="false" customHeight="false" outlineLevel="0" collapsed="false">
      <c r="A8" s="8" t="s">
        <v>36</v>
      </c>
      <c r="B8" s="13" t="n">
        <v>3</v>
      </c>
      <c r="C8" s="10" t="s">
        <v>37</v>
      </c>
    </row>
    <row r="9" customFormat="false" ht="15" hidden="false" customHeight="false" outlineLevel="0" collapsed="false">
      <c r="A9" s="8" t="s">
        <v>38</v>
      </c>
      <c r="B9" s="13" t="n">
        <v>1</v>
      </c>
      <c r="C9" s="10" t="s">
        <v>35</v>
      </c>
    </row>
    <row r="10" customFormat="false" ht="15" hidden="false" customHeight="false" outlineLevel="0" collapsed="false">
      <c r="A10" s="8" t="s">
        <v>39</v>
      </c>
      <c r="B10" s="13" t="n">
        <v>5</v>
      </c>
      <c r="C10" s="10" t="s">
        <v>35</v>
      </c>
    </row>
    <row r="11" customFormat="false" ht="15" hidden="false" customHeight="false" outlineLevel="0" collapsed="false">
      <c r="A11" s="8" t="s">
        <v>40</v>
      </c>
      <c r="B11" s="12" t="n">
        <v>0.2</v>
      </c>
      <c r="C11" s="10" t="s">
        <v>41</v>
      </c>
    </row>
    <row r="12" customFormat="false" ht="15" hidden="false" customHeight="false" outlineLevel="0" collapsed="false">
      <c r="A12" s="8" t="s">
        <v>42</v>
      </c>
      <c r="B12" s="12" t="n">
        <v>0.1</v>
      </c>
      <c r="C12" s="10" t="s">
        <v>43</v>
      </c>
    </row>
    <row r="13" customFormat="false" ht="15" hidden="false" customHeight="false" outlineLevel="0" collapsed="false">
      <c r="A13" s="8" t="s">
        <v>44</v>
      </c>
      <c r="B13" s="12" t="n">
        <v>0.081</v>
      </c>
      <c r="C13" s="10" t="s">
        <v>45</v>
      </c>
    </row>
    <row r="14" customFormat="false" ht="15" hidden="false" customHeight="false" outlineLevel="0" collapsed="false">
      <c r="A14" s="8" t="s">
        <v>46</v>
      </c>
      <c r="B14" s="12" t="n">
        <v>0.081</v>
      </c>
      <c r="C14" s="10" t="s">
        <v>47</v>
      </c>
    </row>
    <row r="15" customFormat="false" ht="15" hidden="false" customHeight="false" outlineLevel="0" collapsed="false">
      <c r="A15" s="8" t="s">
        <v>48</v>
      </c>
      <c r="B15" s="12" t="n">
        <v>0.12</v>
      </c>
      <c r="C15" s="10" t="s">
        <v>49</v>
      </c>
    </row>
    <row r="16" customFormat="false" ht="15" hidden="false" customHeight="false" outlineLevel="0" collapsed="false">
      <c r="A16" s="8" t="s">
        <v>50</v>
      </c>
      <c r="B16" s="13" t="n">
        <v>8</v>
      </c>
      <c r="C16" s="10" t="s">
        <v>49</v>
      </c>
    </row>
    <row r="17" customFormat="false" ht="15" hidden="false" customHeight="false" outlineLevel="0" collapsed="false">
      <c r="A17" s="8" t="s">
        <v>51</v>
      </c>
      <c r="B17" s="14" t="s">
        <v>52</v>
      </c>
      <c r="C17" s="10" t="s">
        <v>53</v>
      </c>
    </row>
  </sheetData>
  <dataValidations count="1">
    <dataValidation allowBlank="false" errorStyle="stop" operator="between" showDropDown="false" showErrorMessage="false" showInputMessage="false" sqref="B4" type="list">
      <formula1>"EFFECTIVE,NOT_REGISTERED"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9"/>
    <col collapsed="false" customWidth="true" hidden="false" outlineLevel="0" max="4" min="4" style="0" width="13"/>
    <col collapsed="false" customWidth="true" hidden="false" outlineLevel="0" max="5" min="5" style="0" width="18"/>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10"/>
    <col collapsed="false" customWidth="true" hidden="false" outlineLevel="0" max="10" min="10" style="0" width="15"/>
    <col collapsed="false" customWidth="true" hidden="false" outlineLevel="0" max="11" min="11" style="0" width="14"/>
    <col collapsed="false" customWidth="true" hidden="false" outlineLevel="0" max="12" min="12" style="0" width="16"/>
    <col collapsed="false" customWidth="true" hidden="false" outlineLevel="0" max="13" min="13" style="0" width="14"/>
    <col collapsed="false" customWidth="true" hidden="false" outlineLevel="0" max="14" min="14" style="0" width="12"/>
    <col collapsed="false" customWidth="true" hidden="false" outlineLevel="0" max="16" min="15" style="0" width="16"/>
    <col collapsed="false" customWidth="true" hidden="false" outlineLevel="0" max="17" min="17" style="0" width="12"/>
    <col collapsed="false" customWidth="true" hidden="false" outlineLevel="0" max="18" min="18" style="0" width="18"/>
    <col collapsed="false" customWidth="true" hidden="false" outlineLevel="0" max="19" min="19" style="0" width="9"/>
    <col collapsed="false" customWidth="true" hidden="false" outlineLevel="0" max="20" min="20" style="0" width="11"/>
  </cols>
  <sheetData>
    <row r="1" customFormat="false" ht="17.35" hidden="false" customHeight="false" outlineLevel="0" collapsed="false">
      <c r="A1" s="5" t="s">
        <v>54</v>
      </c>
    </row>
    <row r="2" customFormat="false" ht="15" hidden="false" customHeight="false" outlineLevel="0" collapsed="false">
      <c r="A2" s="6" t="s">
        <v>55</v>
      </c>
    </row>
    <row r="4" customFormat="false" ht="48" hidden="false" customHeight="true" outlineLevel="0" collapsed="false">
      <c r="A4" s="7" t="s">
        <v>56</v>
      </c>
      <c r="B4" s="7" t="s">
        <v>57</v>
      </c>
      <c r="C4" s="7" t="s">
        <v>58</v>
      </c>
      <c r="D4" s="7" t="s">
        <v>59</v>
      </c>
      <c r="E4" s="7" t="s">
        <v>60</v>
      </c>
      <c r="F4" s="7" t="s">
        <v>61</v>
      </c>
      <c r="G4" s="7" t="s">
        <v>62</v>
      </c>
      <c r="H4" s="7" t="s">
        <v>63</v>
      </c>
      <c r="I4" s="7" t="s">
        <v>64</v>
      </c>
      <c r="J4" s="7" t="s">
        <v>65</v>
      </c>
      <c r="K4" s="7" t="s">
        <v>66</v>
      </c>
      <c r="L4" s="7" t="s">
        <v>67</v>
      </c>
      <c r="M4" s="7" t="s">
        <v>68</v>
      </c>
      <c r="N4" s="7" t="s">
        <v>69</v>
      </c>
      <c r="O4" s="7" t="s">
        <v>70</v>
      </c>
      <c r="P4" s="7" t="s">
        <v>71</v>
      </c>
      <c r="Q4" s="7" t="s">
        <v>72</v>
      </c>
      <c r="R4" s="7" t="s">
        <v>73</v>
      </c>
      <c r="S4" s="7" t="s">
        <v>74</v>
      </c>
      <c r="T4" s="7" t="s">
        <v>75</v>
      </c>
    </row>
    <row r="5" customFormat="false" ht="15" hidden="false" customHeight="false" outlineLevel="0" collapsed="false">
      <c r="A5" s="9" t="s">
        <v>76</v>
      </c>
      <c r="B5" s="9"/>
      <c r="C5" s="9"/>
      <c r="D5" s="15"/>
      <c r="E5" s="9"/>
      <c r="F5" s="16"/>
      <c r="G5" s="12"/>
      <c r="H5" s="9"/>
      <c r="I5" s="9"/>
      <c r="J5" s="13"/>
      <c r="K5" s="13"/>
      <c r="L5" s="13"/>
      <c r="M5" s="13"/>
      <c r="N5" s="9"/>
      <c r="O5" s="9"/>
      <c r="P5" s="9"/>
      <c r="Q5" s="9"/>
      <c r="R5" s="9" t="s">
        <v>77</v>
      </c>
      <c r="S5" s="17" t="s">
        <v>78</v>
      </c>
      <c r="T5" s="18" t="n">
        <f aca="false">IF(A5="","",IF(AND(B5&lt;&gt;"",C5&lt;&gt;"",D5&lt;&gt;"",E5&lt;&gt;"",F5&lt;&gt;"",G5&lt;&gt;"",H5&lt;&gt;"",J5&lt;&gt;"",K5&lt;&gt;"",L5&lt;&gt;""),1,0))</f>
        <v>0</v>
      </c>
    </row>
    <row r="6" customFormat="false" ht="15" hidden="false" customHeight="false" outlineLevel="0" collapsed="false">
      <c r="A6" s="9" t="s">
        <v>79</v>
      </c>
      <c r="B6" s="9"/>
      <c r="C6" s="9"/>
      <c r="D6" s="15"/>
      <c r="E6" s="9"/>
      <c r="F6" s="16"/>
      <c r="G6" s="12"/>
      <c r="H6" s="9"/>
      <c r="I6" s="9"/>
      <c r="J6" s="13"/>
      <c r="K6" s="13"/>
      <c r="L6" s="13"/>
      <c r="M6" s="13"/>
      <c r="N6" s="9"/>
      <c r="O6" s="9"/>
      <c r="P6" s="9"/>
      <c r="Q6" s="9"/>
      <c r="R6" s="9" t="s">
        <v>77</v>
      </c>
      <c r="S6" s="17" t="s">
        <v>78</v>
      </c>
      <c r="T6" s="18" t="n">
        <f aca="false">IF(A6="","",IF(AND(B6&lt;&gt;"",C6&lt;&gt;"",D6&lt;&gt;"",E6&lt;&gt;"",F6&lt;&gt;"",G6&lt;&gt;"",H6&lt;&gt;"",J6&lt;&gt;"",K6&lt;&gt;"",L6&lt;&gt;""),1,0))</f>
        <v>0</v>
      </c>
    </row>
    <row r="7" customFormat="false" ht="15" hidden="false" customHeight="false" outlineLevel="0" collapsed="false">
      <c r="A7" s="9" t="s">
        <v>80</v>
      </c>
      <c r="B7" s="9"/>
      <c r="C7" s="9"/>
      <c r="D7" s="15"/>
      <c r="E7" s="9"/>
      <c r="F7" s="16"/>
      <c r="G7" s="12"/>
      <c r="H7" s="9"/>
      <c r="I7" s="9"/>
      <c r="J7" s="13"/>
      <c r="K7" s="13"/>
      <c r="L7" s="13"/>
      <c r="M7" s="13"/>
      <c r="N7" s="9"/>
      <c r="O7" s="9"/>
      <c r="P7" s="9"/>
      <c r="Q7" s="9"/>
      <c r="R7" s="9" t="s">
        <v>77</v>
      </c>
      <c r="S7" s="17" t="s">
        <v>78</v>
      </c>
      <c r="T7" s="18" t="n">
        <f aca="false">IF(A7="","",IF(AND(B7&lt;&gt;"",C7&lt;&gt;"",D7&lt;&gt;"",E7&lt;&gt;"",F7&lt;&gt;"",G7&lt;&gt;"",H7&lt;&gt;"",J7&lt;&gt;"",K7&lt;&gt;"",L7&lt;&gt;""),1,0))</f>
        <v>0</v>
      </c>
    </row>
    <row r="8" customFormat="false" ht="15" hidden="false" customHeight="false" outlineLevel="0" collapsed="false">
      <c r="A8" s="9" t="s">
        <v>81</v>
      </c>
      <c r="B8" s="9"/>
      <c r="C8" s="9"/>
      <c r="D8" s="15"/>
      <c r="E8" s="9"/>
      <c r="F8" s="16"/>
      <c r="G8" s="12"/>
      <c r="H8" s="9"/>
      <c r="I8" s="9"/>
      <c r="J8" s="13"/>
      <c r="K8" s="13"/>
      <c r="L8" s="13"/>
      <c r="M8" s="13"/>
      <c r="N8" s="9"/>
      <c r="O8" s="9"/>
      <c r="P8" s="9"/>
      <c r="Q8" s="9"/>
      <c r="R8" s="9" t="s">
        <v>77</v>
      </c>
      <c r="S8" s="17" t="s">
        <v>78</v>
      </c>
      <c r="T8" s="18" t="n">
        <f aca="false">IF(A8="","",IF(AND(B8&lt;&gt;"",C8&lt;&gt;"",D8&lt;&gt;"",E8&lt;&gt;"",F8&lt;&gt;"",G8&lt;&gt;"",H8&lt;&gt;"",J8&lt;&gt;"",K8&lt;&gt;"",L8&lt;&gt;""),1,0))</f>
        <v>0</v>
      </c>
    </row>
    <row r="9" customFormat="false" ht="15" hidden="false" customHeight="false" outlineLevel="0" collapsed="false">
      <c r="A9" s="9" t="s">
        <v>82</v>
      </c>
      <c r="B9" s="9"/>
      <c r="C9" s="9"/>
      <c r="D9" s="15"/>
      <c r="E9" s="9"/>
      <c r="F9" s="16"/>
      <c r="G9" s="12"/>
      <c r="H9" s="9"/>
      <c r="I9" s="9"/>
      <c r="J9" s="13"/>
      <c r="K9" s="13"/>
      <c r="L9" s="13"/>
      <c r="M9" s="13"/>
      <c r="N9" s="9"/>
      <c r="O9" s="9"/>
      <c r="P9" s="9"/>
      <c r="Q9" s="9"/>
      <c r="R9" s="9" t="s">
        <v>77</v>
      </c>
      <c r="S9" s="17" t="s">
        <v>78</v>
      </c>
      <c r="T9" s="18" t="n">
        <f aca="false">IF(A9="","",IF(AND(B9&lt;&gt;"",C9&lt;&gt;"",D9&lt;&gt;"",E9&lt;&gt;"",F9&lt;&gt;"",G9&lt;&gt;"",H9&lt;&gt;"",J9&lt;&gt;"",K9&lt;&gt;"",L9&lt;&gt;""),1,0))</f>
        <v>0</v>
      </c>
    </row>
    <row r="10" customFormat="false" ht="15" hidden="false" customHeight="false" outlineLevel="0" collapsed="false">
      <c r="A10" s="9" t="s">
        <v>83</v>
      </c>
      <c r="B10" s="9"/>
      <c r="C10" s="9"/>
      <c r="D10" s="15"/>
      <c r="E10" s="9"/>
      <c r="F10" s="16"/>
      <c r="G10" s="12"/>
      <c r="H10" s="9"/>
      <c r="I10" s="9"/>
      <c r="J10" s="13"/>
      <c r="K10" s="13"/>
      <c r="L10" s="13"/>
      <c r="M10" s="13"/>
      <c r="N10" s="9"/>
      <c r="O10" s="9"/>
      <c r="P10" s="9"/>
      <c r="Q10" s="9"/>
      <c r="R10" s="9" t="s">
        <v>77</v>
      </c>
      <c r="S10" s="17" t="s">
        <v>78</v>
      </c>
      <c r="T10" s="18" t="n">
        <f aca="false">IF(A10="","",IF(AND(B10&lt;&gt;"",C10&lt;&gt;"",D10&lt;&gt;"",E10&lt;&gt;"",F10&lt;&gt;"",G10&lt;&gt;"",H10&lt;&gt;"",J10&lt;&gt;"",K10&lt;&gt;"",L10&lt;&gt;""),1,0))</f>
        <v>0</v>
      </c>
    </row>
    <row r="11" customFormat="false" ht="15" hidden="false" customHeight="false" outlineLevel="0" collapsed="false">
      <c r="A11" s="19" t="s">
        <v>84</v>
      </c>
      <c r="B11" s="19" t="s">
        <v>85</v>
      </c>
      <c r="C11" s="19" t="s">
        <v>86</v>
      </c>
      <c r="D11" s="20" t="n">
        <v>0.94</v>
      </c>
      <c r="E11" s="19" t="s">
        <v>87</v>
      </c>
      <c r="F11" s="21" t="n">
        <v>46299</v>
      </c>
      <c r="G11" s="22" t="n">
        <v>0</v>
      </c>
      <c r="H11" s="19" t="s">
        <v>85</v>
      </c>
      <c r="I11" s="19" t="s">
        <v>88</v>
      </c>
      <c r="J11" s="23" t="n">
        <v>40</v>
      </c>
      <c r="K11" s="23" t="n">
        <v>0</v>
      </c>
      <c r="L11" s="23" t="n">
        <v>25</v>
      </c>
      <c r="M11" s="23" t="n">
        <v>500</v>
      </c>
      <c r="N11" s="19" t="n">
        <v>5</v>
      </c>
      <c r="O11" s="19" t="s">
        <v>89</v>
      </c>
      <c r="P11" s="19" t="s">
        <v>90</v>
      </c>
      <c r="Q11" s="19" t="s">
        <v>78</v>
      </c>
      <c r="R11" s="19" t="s">
        <v>91</v>
      </c>
      <c r="S11" s="24" t="s">
        <v>92</v>
      </c>
      <c r="T11" s="18" t="n">
        <f aca="false">IF(A11="","",IF(AND(B11&lt;&gt;"",C11&lt;&gt;"",D11&lt;&gt;"",E11&lt;&gt;"",F11&lt;&gt;"",G11&lt;&gt;"",H11&lt;&gt;"",J11&lt;&gt;"",K11&lt;&gt;"",L11&lt;&gt;""),1,0))</f>
        <v>1</v>
      </c>
    </row>
    <row r="12" customFormat="false" ht="15" hidden="false" customHeight="false" outlineLevel="0" collapsed="false">
      <c r="A12" s="19" t="s">
        <v>93</v>
      </c>
      <c r="B12" s="19" t="s">
        <v>94</v>
      </c>
      <c r="C12" s="19" t="s">
        <v>95</v>
      </c>
      <c r="D12" s="20" t="n">
        <v>1</v>
      </c>
      <c r="E12" s="19" t="s">
        <v>96</v>
      </c>
      <c r="F12" s="21" t="n">
        <v>46299</v>
      </c>
      <c r="G12" s="22" t="n">
        <v>0.081</v>
      </c>
      <c r="H12" s="19" t="s">
        <v>94</v>
      </c>
      <c r="I12" s="19" t="s">
        <v>88</v>
      </c>
      <c r="J12" s="23" t="n">
        <v>15</v>
      </c>
      <c r="K12" s="23" t="n">
        <v>0</v>
      </c>
      <c r="L12" s="23" t="n">
        <v>0</v>
      </c>
      <c r="M12" s="23" t="n">
        <v>300</v>
      </c>
      <c r="N12" s="19" t="n">
        <v>2</v>
      </c>
      <c r="O12" s="19" t="s">
        <v>97</v>
      </c>
      <c r="P12" s="19" t="s">
        <v>98</v>
      </c>
      <c r="Q12" s="19" t="s">
        <v>78</v>
      </c>
      <c r="R12" s="19" t="s">
        <v>91</v>
      </c>
      <c r="S12" s="24" t="s">
        <v>92</v>
      </c>
      <c r="T12" s="18" t="n">
        <f aca="false">IF(A12="","",IF(AND(B12&lt;&gt;"",C12&lt;&gt;"",D12&lt;&gt;"",E12&lt;&gt;"",F12&lt;&gt;"",G12&lt;&gt;"",H12&lt;&gt;"",J12&lt;&gt;"",K12&lt;&gt;"",L12&lt;&gt;""),1,0))</f>
        <v>1</v>
      </c>
    </row>
    <row r="13" customFormat="false" ht="15" hidden="false" customHeight="false" outlineLevel="0" collapsed="false">
      <c r="A13" s="9"/>
      <c r="B13" s="9"/>
      <c r="C13" s="9"/>
      <c r="D13" s="15"/>
      <c r="E13" s="9"/>
      <c r="F13" s="16"/>
      <c r="G13" s="12"/>
      <c r="H13" s="9"/>
      <c r="I13" s="9"/>
      <c r="J13" s="13"/>
      <c r="K13" s="13"/>
      <c r="L13" s="13"/>
      <c r="M13" s="13"/>
      <c r="N13" s="9"/>
      <c r="O13" s="9"/>
      <c r="P13" s="9"/>
      <c r="Q13" s="9"/>
      <c r="R13" s="9"/>
      <c r="S13" s="17"/>
      <c r="T13" s="18" t="str">
        <f aca="false">IF(A13="","",IF(AND(B13&lt;&gt;"",C13&lt;&gt;"",D13&lt;&gt;"",E13&lt;&gt;"",F13&lt;&gt;"",G13&lt;&gt;"",H13&lt;&gt;"",J13&lt;&gt;"",K13&lt;&gt;"",L13&lt;&gt;""),1,0))</f>
        <v/>
      </c>
    </row>
    <row r="14" customFormat="false" ht="15" hidden="false" customHeight="false" outlineLevel="0" collapsed="false">
      <c r="A14" s="9"/>
      <c r="B14" s="9"/>
      <c r="C14" s="9"/>
      <c r="D14" s="15"/>
      <c r="E14" s="9"/>
      <c r="F14" s="16"/>
      <c r="G14" s="12"/>
      <c r="H14" s="9"/>
      <c r="I14" s="9"/>
      <c r="J14" s="13"/>
      <c r="K14" s="13"/>
      <c r="L14" s="13"/>
      <c r="M14" s="13"/>
      <c r="N14" s="9"/>
      <c r="O14" s="9"/>
      <c r="P14" s="9"/>
      <c r="Q14" s="9"/>
      <c r="R14" s="9"/>
      <c r="S14" s="17"/>
      <c r="T14" s="18" t="str">
        <f aca="false">IF(A14="","",IF(AND(B14&lt;&gt;"",C14&lt;&gt;"",D14&lt;&gt;"",E14&lt;&gt;"",F14&lt;&gt;"",G14&lt;&gt;"",H14&lt;&gt;"",J14&lt;&gt;"",K14&lt;&gt;"",L14&lt;&gt;""),1,0))</f>
        <v/>
      </c>
    </row>
    <row r="15" customFormat="false" ht="15" hidden="false" customHeight="false" outlineLevel="0" collapsed="false">
      <c r="A15" s="9"/>
      <c r="B15" s="9"/>
      <c r="C15" s="9"/>
      <c r="D15" s="15"/>
      <c r="E15" s="9"/>
      <c r="F15" s="16"/>
      <c r="G15" s="12"/>
      <c r="H15" s="9"/>
      <c r="I15" s="9"/>
      <c r="J15" s="13"/>
      <c r="K15" s="13"/>
      <c r="L15" s="13"/>
      <c r="M15" s="13"/>
      <c r="N15" s="9"/>
      <c r="O15" s="9"/>
      <c r="P15" s="9"/>
      <c r="Q15" s="9"/>
      <c r="R15" s="9"/>
      <c r="S15" s="17"/>
      <c r="T15" s="18" t="str">
        <f aca="false">IF(A15="","",IF(AND(B15&lt;&gt;"",C15&lt;&gt;"",D15&lt;&gt;"",E15&lt;&gt;"",F15&lt;&gt;"",G15&lt;&gt;"",H15&lt;&gt;"",J15&lt;&gt;"",K15&lt;&gt;"",L15&lt;&gt;""),1,0))</f>
        <v/>
      </c>
    </row>
    <row r="16" customFormat="false" ht="15" hidden="false" customHeight="false" outlineLevel="0" collapsed="false">
      <c r="A16" s="9"/>
      <c r="B16" s="9"/>
      <c r="C16" s="9"/>
      <c r="D16" s="15"/>
      <c r="E16" s="9"/>
      <c r="F16" s="16"/>
      <c r="G16" s="12"/>
      <c r="H16" s="9"/>
      <c r="I16" s="9"/>
      <c r="J16" s="13"/>
      <c r="K16" s="13"/>
      <c r="L16" s="13"/>
      <c r="M16" s="13"/>
      <c r="N16" s="9"/>
      <c r="O16" s="9"/>
      <c r="P16" s="9"/>
      <c r="Q16" s="9"/>
      <c r="R16" s="9"/>
      <c r="S16" s="17"/>
      <c r="T16" s="18" t="str">
        <f aca="false">IF(A16="","",IF(AND(B16&lt;&gt;"",C16&lt;&gt;"",D16&lt;&gt;"",E16&lt;&gt;"",F16&lt;&gt;"",G16&lt;&gt;"",H16&lt;&gt;"",J16&lt;&gt;"",K16&lt;&gt;"",L16&lt;&gt;""),1,0))</f>
        <v/>
      </c>
    </row>
    <row r="17" customFormat="false" ht="15" hidden="false" customHeight="false" outlineLevel="0" collapsed="false">
      <c r="A17" s="9"/>
      <c r="B17" s="9"/>
      <c r="C17" s="9"/>
      <c r="D17" s="15"/>
      <c r="E17" s="9"/>
      <c r="F17" s="16"/>
      <c r="G17" s="12"/>
      <c r="H17" s="9"/>
      <c r="I17" s="9"/>
      <c r="J17" s="13"/>
      <c r="K17" s="13"/>
      <c r="L17" s="13"/>
      <c r="M17" s="13"/>
      <c r="N17" s="9"/>
      <c r="O17" s="9"/>
      <c r="P17" s="9"/>
      <c r="Q17" s="9"/>
      <c r="R17" s="9"/>
      <c r="S17" s="17"/>
      <c r="T17" s="18" t="str">
        <f aca="false">IF(A17="","",IF(AND(B17&lt;&gt;"",C17&lt;&gt;"",D17&lt;&gt;"",E17&lt;&gt;"",F17&lt;&gt;"",G17&lt;&gt;"",H17&lt;&gt;"",J17&lt;&gt;"",K17&lt;&gt;"",L17&lt;&gt;""),1,0))</f>
        <v/>
      </c>
    </row>
    <row r="18" customFormat="false" ht="15" hidden="false" customHeight="false" outlineLevel="0" collapsed="false">
      <c r="A18" s="9"/>
      <c r="B18" s="9"/>
      <c r="C18" s="9"/>
      <c r="D18" s="15"/>
      <c r="E18" s="9"/>
      <c r="F18" s="16"/>
      <c r="G18" s="12"/>
      <c r="H18" s="9"/>
      <c r="I18" s="9"/>
      <c r="J18" s="13"/>
      <c r="K18" s="13"/>
      <c r="L18" s="13"/>
      <c r="M18" s="13"/>
      <c r="N18" s="9"/>
      <c r="O18" s="9"/>
      <c r="P18" s="9"/>
      <c r="Q18" s="9"/>
      <c r="R18" s="9"/>
      <c r="S18" s="17"/>
      <c r="T18" s="18" t="str">
        <f aca="false">IF(A18="","",IF(AND(B18&lt;&gt;"",C18&lt;&gt;"",D18&lt;&gt;"",E18&lt;&gt;"",F18&lt;&gt;"",G18&lt;&gt;"",H18&lt;&gt;"",J18&lt;&gt;"",K18&lt;&gt;"",L18&lt;&gt;""),1,0))</f>
        <v/>
      </c>
    </row>
    <row r="19" customFormat="false" ht="15" hidden="false" customHeight="false" outlineLevel="0" collapsed="false">
      <c r="A19" s="9"/>
      <c r="B19" s="9"/>
      <c r="C19" s="9"/>
      <c r="D19" s="15"/>
      <c r="E19" s="9"/>
      <c r="F19" s="16"/>
      <c r="G19" s="12"/>
      <c r="H19" s="9"/>
      <c r="I19" s="9"/>
      <c r="J19" s="13"/>
      <c r="K19" s="13"/>
      <c r="L19" s="13"/>
      <c r="M19" s="13"/>
      <c r="N19" s="9"/>
      <c r="O19" s="9"/>
      <c r="P19" s="9"/>
      <c r="Q19" s="9"/>
      <c r="R19" s="9"/>
      <c r="S19" s="17"/>
      <c r="T19" s="18" t="str">
        <f aca="false">IF(A19="","",IF(AND(B19&lt;&gt;"",C19&lt;&gt;"",D19&lt;&gt;"",E19&lt;&gt;"",F19&lt;&gt;"",G19&lt;&gt;"",H19&lt;&gt;"",J19&lt;&gt;"",K19&lt;&gt;"",L19&lt;&gt;""),1,0))</f>
        <v/>
      </c>
    </row>
    <row r="20" customFormat="false" ht="15" hidden="false" customHeight="false" outlineLevel="0" collapsed="false">
      <c r="A20" s="9"/>
      <c r="B20" s="9"/>
      <c r="C20" s="9"/>
      <c r="D20" s="15"/>
      <c r="E20" s="9"/>
      <c r="F20" s="16"/>
      <c r="G20" s="12"/>
      <c r="H20" s="9"/>
      <c r="I20" s="9"/>
      <c r="J20" s="13"/>
      <c r="K20" s="13"/>
      <c r="L20" s="13"/>
      <c r="M20" s="13"/>
      <c r="N20" s="9"/>
      <c r="O20" s="9"/>
      <c r="P20" s="9"/>
      <c r="Q20" s="9"/>
      <c r="R20" s="9"/>
      <c r="S20" s="17"/>
      <c r="T20" s="18" t="str">
        <f aca="false">IF(A20="","",IF(AND(B20&lt;&gt;"",C20&lt;&gt;"",D20&lt;&gt;"",E20&lt;&gt;"",F20&lt;&gt;"",G20&lt;&gt;"",H20&lt;&gt;"",J20&lt;&gt;"",K20&lt;&gt;"",L20&lt;&gt;""),1,0))</f>
        <v/>
      </c>
    </row>
    <row r="21" customFormat="false" ht="15" hidden="false" customHeight="false" outlineLevel="0" collapsed="false">
      <c r="A21" s="9"/>
      <c r="B21" s="9"/>
      <c r="C21" s="9"/>
      <c r="D21" s="15"/>
      <c r="E21" s="9"/>
      <c r="F21" s="16"/>
      <c r="G21" s="12"/>
      <c r="H21" s="9"/>
      <c r="I21" s="9"/>
      <c r="J21" s="13"/>
      <c r="K21" s="13"/>
      <c r="L21" s="13"/>
      <c r="M21" s="13"/>
      <c r="N21" s="9"/>
      <c r="O21" s="9"/>
      <c r="P21" s="9"/>
      <c r="Q21" s="9"/>
      <c r="R21" s="9"/>
      <c r="S21" s="17"/>
      <c r="T21" s="18" t="str">
        <f aca="false">IF(A21="","",IF(AND(B21&lt;&gt;"",C21&lt;&gt;"",D21&lt;&gt;"",E21&lt;&gt;"",F21&lt;&gt;"",G21&lt;&gt;"",H21&lt;&gt;"",J21&lt;&gt;"",K21&lt;&gt;"",L21&lt;&gt;""),1,0))</f>
        <v/>
      </c>
    </row>
    <row r="22" customFormat="false" ht="15" hidden="false" customHeight="false" outlineLevel="0" collapsed="false">
      <c r="A22" s="9"/>
      <c r="B22" s="9"/>
      <c r="C22" s="9"/>
      <c r="D22" s="15"/>
      <c r="E22" s="9"/>
      <c r="F22" s="16"/>
      <c r="G22" s="12"/>
      <c r="H22" s="9"/>
      <c r="I22" s="9"/>
      <c r="J22" s="13"/>
      <c r="K22" s="13"/>
      <c r="L22" s="13"/>
      <c r="M22" s="13"/>
      <c r="N22" s="9"/>
      <c r="O22" s="9"/>
      <c r="P22" s="9"/>
      <c r="Q22" s="9"/>
      <c r="R22" s="9"/>
      <c r="S22" s="17"/>
      <c r="T22" s="18" t="str">
        <f aca="false">IF(A22="","",IF(AND(B22&lt;&gt;"",C22&lt;&gt;"",D22&lt;&gt;"",E22&lt;&gt;"",F22&lt;&gt;"",G22&lt;&gt;"",H22&lt;&gt;"",J22&lt;&gt;"",K22&lt;&gt;"",L22&lt;&gt;""),1,0))</f>
        <v/>
      </c>
    </row>
    <row r="23" customFormat="false" ht="15" hidden="false" customHeight="false" outlineLevel="0" collapsed="false">
      <c r="A23" s="9"/>
      <c r="B23" s="9"/>
      <c r="C23" s="9"/>
      <c r="D23" s="15"/>
      <c r="E23" s="9"/>
      <c r="F23" s="16"/>
      <c r="G23" s="12"/>
      <c r="H23" s="9"/>
      <c r="I23" s="9"/>
      <c r="J23" s="13"/>
      <c r="K23" s="13"/>
      <c r="L23" s="13"/>
      <c r="M23" s="13"/>
      <c r="N23" s="9"/>
      <c r="O23" s="9"/>
      <c r="P23" s="9"/>
      <c r="Q23" s="9"/>
      <c r="R23" s="9"/>
      <c r="S23" s="17"/>
      <c r="T23" s="18" t="str">
        <f aca="false">IF(A23="","",IF(AND(B23&lt;&gt;"",C23&lt;&gt;"",D23&lt;&gt;"",E23&lt;&gt;"",F23&lt;&gt;"",G23&lt;&gt;"",H23&lt;&gt;"",J23&lt;&gt;"",K23&lt;&gt;"",L23&lt;&gt;""),1,0))</f>
        <v/>
      </c>
    </row>
    <row r="24" customFormat="false" ht="15" hidden="false" customHeight="false" outlineLevel="0" collapsed="false">
      <c r="A24" s="9"/>
      <c r="B24" s="9"/>
      <c r="C24" s="9"/>
      <c r="D24" s="15"/>
      <c r="E24" s="9"/>
      <c r="F24" s="16"/>
      <c r="G24" s="12"/>
      <c r="H24" s="9"/>
      <c r="I24" s="9"/>
      <c r="J24" s="13"/>
      <c r="K24" s="13"/>
      <c r="L24" s="13"/>
      <c r="M24" s="13"/>
      <c r="N24" s="9"/>
      <c r="O24" s="9"/>
      <c r="P24" s="9"/>
      <c r="Q24" s="9"/>
      <c r="R24" s="9"/>
      <c r="S24" s="17"/>
      <c r="T24" s="18" t="str">
        <f aca="false">IF(A24="","",IF(AND(B24&lt;&gt;"",C24&lt;&gt;"",D24&lt;&gt;"",E24&lt;&gt;"",F24&lt;&gt;"",G24&lt;&gt;"",H24&lt;&gt;"",J24&lt;&gt;"",K24&lt;&gt;"",L24&lt;&gt;""),1,0))</f>
        <v/>
      </c>
    </row>
  </sheetData>
  <dataValidations count="3">
    <dataValidation allowBlank="true" errorStyle="stop" operator="between" showDropDown="false" showErrorMessage="false" showInputMessage="false" sqref="P5:P24" type="list">
      <formula1>"API,CSV,XLSX,XML,PDF/email,portail seul,inconnu"</formula1>
      <formula2>0</formula2>
    </dataValidation>
    <dataValidation allowBlank="true" errorStyle="stop" operator="between" showDropDown="false" showErrorMessage="false" showInputMessage="false" sqref="Q5:Q24" type="list">
      <formula1>"O,N"</formula1>
      <formula2>0</formula2>
    </dataValidation>
    <dataValidation allowBlank="true" errorStyle="stop" operator="between" showDropDown="false" showErrorMessage="false" showInputMessage="false" sqref="S5:S24" type="list">
      <formula1>"O,N"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22"/>
    <col collapsed="false" customWidth="true" hidden="false" outlineLevel="0" max="4" min="4" style="0" width="14"/>
    <col collapsed="false" customWidth="true" hidden="false" outlineLevel="0" max="5" min="5" style="0" width="15"/>
    <col collapsed="false" customWidth="true" hidden="false" outlineLevel="0" max="6" min="6" style="0" width="9"/>
    <col collapsed="false" customWidth="true" hidden="false" outlineLevel="0" max="7" min="7" style="0" width="20"/>
    <col collapsed="false" customWidth="true" hidden="false" outlineLevel="0" max="8" min="8" style="0" width="10"/>
    <col collapsed="false" customWidth="true" hidden="false" outlineLevel="0" max="9" min="9" style="0" width="11"/>
    <col collapsed="false" customWidth="true" hidden="false" outlineLevel="0" max="10" min="10" style="0" width="13"/>
    <col collapsed="false" customWidth="true" hidden="false" outlineLevel="0" max="11" min="11" style="0" width="9"/>
    <col collapsed="false" customWidth="true" hidden="false" outlineLevel="0" max="12" min="12" style="0" width="10"/>
    <col collapsed="false" customWidth="true" hidden="false" outlineLevel="0" max="13" min="13" style="0" width="11"/>
    <col collapsed="false" customWidth="true" hidden="false" outlineLevel="0" max="14" min="14" style="0" width="10"/>
    <col collapsed="false" customWidth="true" hidden="false" outlineLevel="0" max="15" min="15" style="0" width="11"/>
    <col collapsed="false" customWidth="true" hidden="false" outlineLevel="0" max="16" min="16" style="0" width="9"/>
    <col collapsed="false" customWidth="true" hidden="false" outlineLevel="0" max="17" min="17" style="0" width="12"/>
    <col collapsed="false" customWidth="true" hidden="false" outlineLevel="0" max="18" min="18" style="0" width="13"/>
    <col collapsed="false" customWidth="true" hidden="false" outlineLevel="0" max="19" min="19" style="0" width="8"/>
    <col collapsed="false" customWidth="true" hidden="false" outlineLevel="0" max="46" min="20" style="0" width="12"/>
  </cols>
  <sheetData>
    <row r="1" customFormat="false" ht="17.35" hidden="false" customHeight="false" outlineLevel="0" collapsed="false">
      <c r="A1" s="5" t="s">
        <v>99</v>
      </c>
    </row>
    <row r="2" customFormat="false" ht="15" hidden="false" customHeight="false" outlineLevel="0" collapsed="false">
      <c r="A2" s="6" t="s">
        <v>100</v>
      </c>
    </row>
    <row r="3" customFormat="false" ht="15" hidden="false" customHeight="false" outlineLevel="0" collapsed="false">
      <c r="A3" s="6" t="s">
        <v>101</v>
      </c>
    </row>
    <row r="5" customFormat="false" ht="48" hidden="false" customHeight="true" outlineLevel="0" collapsed="false">
      <c r="A5" s="7" t="s">
        <v>102</v>
      </c>
      <c r="B5" s="7" t="s">
        <v>103</v>
      </c>
      <c r="C5" s="7" t="s">
        <v>56</v>
      </c>
      <c r="D5" s="7" t="s">
        <v>104</v>
      </c>
      <c r="E5" s="7" t="s">
        <v>105</v>
      </c>
      <c r="F5" s="7" t="s">
        <v>106</v>
      </c>
      <c r="G5" s="7" t="s">
        <v>107</v>
      </c>
      <c r="H5" s="7" t="s">
        <v>108</v>
      </c>
      <c r="I5" s="7" t="s">
        <v>109</v>
      </c>
      <c r="J5" s="7" t="s">
        <v>110</v>
      </c>
      <c r="K5" s="7" t="s">
        <v>111</v>
      </c>
      <c r="L5" s="7" t="s">
        <v>112</v>
      </c>
      <c r="M5" s="7" t="s">
        <v>113</v>
      </c>
      <c r="N5" s="7" t="s">
        <v>114</v>
      </c>
      <c r="O5" s="7" t="s">
        <v>115</v>
      </c>
      <c r="P5" s="7" t="s">
        <v>116</v>
      </c>
      <c r="Q5" s="7" t="s">
        <v>117</v>
      </c>
      <c r="R5" s="7" t="s">
        <v>118</v>
      </c>
      <c r="S5" s="7" t="s">
        <v>74</v>
      </c>
      <c r="T5" s="7" t="s">
        <v>58</v>
      </c>
      <c r="U5" s="7" t="s">
        <v>119</v>
      </c>
      <c r="V5" s="7" t="s">
        <v>120</v>
      </c>
      <c r="W5" s="7" t="s">
        <v>121</v>
      </c>
      <c r="X5" s="7" t="s">
        <v>122</v>
      </c>
      <c r="Y5" s="7" t="s">
        <v>123</v>
      </c>
      <c r="Z5" s="7" t="s">
        <v>124</v>
      </c>
      <c r="AA5" s="7" t="s">
        <v>125</v>
      </c>
      <c r="AB5" s="7" t="s">
        <v>126</v>
      </c>
      <c r="AC5" s="7" t="s">
        <v>127</v>
      </c>
      <c r="AD5" s="7" t="s">
        <v>128</v>
      </c>
      <c r="AE5" s="7" t="s">
        <v>129</v>
      </c>
      <c r="AF5" s="7" t="s">
        <v>130</v>
      </c>
      <c r="AG5" s="7" t="s">
        <v>131</v>
      </c>
      <c r="AH5" s="7" t="s">
        <v>132</v>
      </c>
      <c r="AI5" s="7" t="s">
        <v>133</v>
      </c>
      <c r="AJ5" s="7" t="s">
        <v>134</v>
      </c>
      <c r="AK5" s="7" t="s">
        <v>135</v>
      </c>
      <c r="AL5" s="7" t="s">
        <v>136</v>
      </c>
      <c r="AM5" s="7" t="s">
        <v>137</v>
      </c>
      <c r="AN5" s="7" t="s">
        <v>138</v>
      </c>
      <c r="AO5" s="7" t="s">
        <v>139</v>
      </c>
      <c r="AP5" s="7" t="s">
        <v>73</v>
      </c>
      <c r="AQ5" s="7" t="s">
        <v>140</v>
      </c>
      <c r="AR5" s="7" t="s">
        <v>141</v>
      </c>
      <c r="AS5" s="7" t="s">
        <v>142</v>
      </c>
      <c r="AT5" s="7" t="s">
        <v>143</v>
      </c>
    </row>
    <row r="6" customFormat="false" ht="15" hidden="false" customHeight="false" outlineLevel="0" collapsed="false">
      <c r="A6" s="19" t="s">
        <v>144</v>
      </c>
      <c r="B6" s="19" t="s">
        <v>145</v>
      </c>
      <c r="C6" s="19" t="s">
        <v>84</v>
      </c>
      <c r="D6" s="19" t="s">
        <v>146</v>
      </c>
      <c r="E6" s="19" t="s">
        <v>147</v>
      </c>
      <c r="F6" s="19" t="s">
        <v>85</v>
      </c>
      <c r="G6" s="19" t="s">
        <v>91</v>
      </c>
      <c r="H6" s="19" t="s">
        <v>148</v>
      </c>
      <c r="I6" s="19" t="n">
        <v>1</v>
      </c>
      <c r="J6" s="23" t="n">
        <v>40</v>
      </c>
      <c r="K6" s="19" t="s">
        <v>149</v>
      </c>
      <c r="L6" s="22" t="n">
        <v>0.05</v>
      </c>
      <c r="M6" s="19" t="n">
        <v>10</v>
      </c>
      <c r="N6" s="19" t="n">
        <v>6</v>
      </c>
      <c r="O6" s="19" t="n">
        <v>50</v>
      </c>
      <c r="P6" s="19" t="s">
        <v>78</v>
      </c>
      <c r="Q6" s="21" t="n">
        <v>46328</v>
      </c>
      <c r="R6" s="23" t="n">
        <v>69.9</v>
      </c>
      <c r="S6" s="19" t="s">
        <v>92</v>
      </c>
      <c r="T6" s="18" t="str">
        <f aca="false">IF($C6="","",IFERROR(INDEX(Fournisseurs!$C$5:$C$24,MATCH($C6,Fournisseurs!$A$5:$A$24,0)),""))</f>
        <v>EUR</v>
      </c>
      <c r="U6" s="25" t="n">
        <f aca="false">IF($C6="","",IFERROR(INDEX(Fournisseurs!$D$5:$D$24,MATCH($C6,Fournisseurs!$A$5:$A$24,0)),""))</f>
        <v>0.94</v>
      </c>
      <c r="V6" s="26" t="n">
        <f aca="false">IF($C6="","",IFERROR(INDEX(Fournisseurs!$G$5:$G$24,MATCH($C6,Fournisseurs!$A$5:$A$24,0)),""))</f>
        <v>0</v>
      </c>
      <c r="W6" s="18" t="str">
        <f aca="false">IF($C6="","",IFERROR(INDEX(Fournisseurs!$H$5:$H$24,MATCH($C6,Fournisseurs!$A$5:$A$24,0)),""))</f>
        <v>FR</v>
      </c>
      <c r="X6" s="18" t="str">
        <f aca="false">IF($C6="","",IFERROR(INDEX(Fournisseurs!$B$5:$B$24,MATCH($C6,Fournisseurs!$A$5:$A$24,0)),""))</f>
        <v>FR</v>
      </c>
      <c r="Y6" s="18" t="n">
        <f aca="false">IF($A6="","",IF(AND($A6&lt;&gt;"",$C6&lt;&gt;"",ISNUMBER($I6),ISNUMBER($J6),ISNUMBER($M6)),IF(AND($I6&gt;=1,$J6&gt;0,OR($K6="HT",$K6="TTC"),$M6&gt;=1,IFERROR(INDEX(Fournisseurs!$T$5:$T$24,MATCH($C6,Fournisseurs!$A$5:$A$24,0)),0)=1),1,0),0))</f>
        <v>1</v>
      </c>
      <c r="Z6" s="27" t="n">
        <f aca="false">IF($Y6=1,$J6*(1-N($L6)),"")</f>
        <v>38</v>
      </c>
      <c r="AA6" s="28" t="n">
        <f aca="false">IF($Y6=1,IF($K6="TTC",$Z6/(1+$V6),$Z6),"")</f>
        <v>38</v>
      </c>
      <c r="AB6" s="28" t="n">
        <f aca="false">IF($Y6=1,IF($K6="TTC",$Z6-$AA6,$AA6*$V6),"")</f>
        <v>0</v>
      </c>
      <c r="AC6" s="27" t="n">
        <f aca="false">IF($Y6=1,$AA6*$U6*$M6,"")</f>
        <v>357.2</v>
      </c>
      <c r="AD6" s="26" t="n">
        <f aca="false">IF($Y6=1,$AC6/SUMIFS($AC$6:$AC$205,$C$6:$C$205,$C6,$Y$6:$Y$205,1),"")</f>
        <v>1</v>
      </c>
      <c r="AE6" s="28" t="n">
        <f aca="false">IF($Y6=1,(INDEX(Fournisseurs!$J$5:$J$24,MATCH($C6,Fournisseurs!$A$5:$A$24,0))+INDEX(Fournisseurs!$K$5:$K$24,MATCH($C6,Fournisseurs!$A$5:$A$24,0)))*$U6*$AD6/($I6*$M6),"")</f>
        <v>3.76</v>
      </c>
      <c r="AF6" s="28" t="n">
        <f aca="false">IF($Y6=1,INDEX(Fournisseurs!$L$5:$L$24,MATCH($C6,Fournisseurs!$A$5:$A$24,0))*$AD6/($I6*$M6),"")</f>
        <v>2.5</v>
      </c>
      <c r="AG6" s="28" t="n">
        <f aca="false">IF($Y6=1,$AA6*$U6/$I6,"")</f>
        <v>35.72</v>
      </c>
      <c r="AH6" s="28" t="n">
        <f aca="false">IF($Y6=1,$AB6*$U6/$I6,"")</f>
        <v>0</v>
      </c>
      <c r="AI6" s="18" t="n">
        <f aca="false">IF($Y6=1,IF(AND(Paramètres!$B$4="EFFECTIVE",$W6="CH",$AB6&gt;0),1,0),"")</f>
        <v>0</v>
      </c>
      <c r="AJ6" s="28" t="n">
        <f aca="false">IF($Y6=1,IF($X6&lt;&gt;"CH",($AG6+$AE6+$AF6)*Paramètres!$B$14,0),"")</f>
        <v>3.40038</v>
      </c>
      <c r="AK6" s="29" t="n">
        <f aca="false">IF($Y6=1,$AG6+IF($AI6=1,0,$AH6)+$AE6+$AF6+IF(Paramètres!$B$4="NOT_REGISTERED",$AJ6,0),"")</f>
        <v>41.98</v>
      </c>
      <c r="AL6" s="27" t="n">
        <f aca="false">IF($Y6=1,($AK6+Paramètres!$B$7+Paramètres!$B$8+Paramètres!$B$9+Paramètres!$B$10)/((1-Paramètres!$B$11)/(1+Paramètres!$B$5)-Paramètres!$B$6),"")</f>
        <v>71.7147126362431</v>
      </c>
      <c r="AM6" s="26" t="n">
        <f aca="false">IF(AND($Y6=1,ISNUMBER($R6)),IF($R6&gt;0,$AL6/$R6-1,""),"")</f>
        <v>0.0259615541665676</v>
      </c>
      <c r="AN6" s="27" t="n">
        <f aca="false">IF(AND($Y6=1,ISNUMBER($R6)),IF($R6&gt;0,$R6/(1+Paramètres!$B$5)-$AK6-($R6*Paramètres!$B$6+Paramètres!$B$7)-Paramètres!$B$8-Paramètres!$B$9-Paramètres!$B$10,""),"")</f>
        <v>11.6348496762257</v>
      </c>
      <c r="AO6" s="26" t="n">
        <f aca="false">IF(ISNUMBER($AN6),$AN6/($R6/(1+Paramètres!$B$5)),"")</f>
        <v>0.179932367668098</v>
      </c>
      <c r="AP6" s="30" t="str">
        <f aca="false">IF($A6="","",IF($Y6&lt;&gt;1,"INCOMPLET",IF(NOT(ISNUMBER($AM6)),"SANS RÉF. MARCHÉ",IF($AM6&lt;=Paramètres!$B$12,"OK",IF(AND($AO6&gt;=Paramètres!$B$15,$AN6&gt;=Paramètres!$B$16),"À REVOIR","NON RENTABLE")))))</f>
        <v>OK</v>
      </c>
      <c r="AQ6" s="18" t="str">
        <f aca="false">TRIM(IF(AND($Y6=1,ISNUMBER($N6)),IF($M6&lt;$N6,"MOQ ",""),"")&amp;IF(AND($Y6=1,ISNUMBER($O6)),IF($O6&lt;$I6*$M6,"DISPO ",""),"")&amp;IF($S6="O","FICTIF ","")&amp;IF($Y6=1,IF(AND($K6="TTC",$W6&lt;&gt;"CH"),"TVA-ÉTRANGÈRE ",""),""))</f>
        <v>FICTIF</v>
      </c>
      <c r="AR6" s="18" t="n">
        <f aca="false">IF($Y6=1,COUNTIFS($A$6:$A$205,$A6,$AK$6:$AK$205,"&lt;"&amp;$AK6,$Y$6:$Y$205,1)+1,"")</f>
        <v>1</v>
      </c>
      <c r="AS6" s="18" t="str">
        <f aca="false">IF(ISNUMBER($AR6),$A6&amp;"|"&amp;$AR6,"")</f>
        <v>FICTIF_R00|1</v>
      </c>
      <c r="AT6" s="27" t="n">
        <f aca="false">IF($Y6=1,$AK6*$I6*$M6,"")</f>
        <v>419.8</v>
      </c>
    </row>
    <row r="7" customFormat="false" ht="15" hidden="false" customHeight="false" outlineLevel="0" collapsed="false">
      <c r="A7" s="19" t="s">
        <v>144</v>
      </c>
      <c r="B7" s="19" t="s">
        <v>145</v>
      </c>
      <c r="C7" s="19" t="s">
        <v>93</v>
      </c>
      <c r="D7" s="19" t="s">
        <v>150</v>
      </c>
      <c r="E7" s="19" t="s">
        <v>147</v>
      </c>
      <c r="F7" s="19" t="s">
        <v>85</v>
      </c>
      <c r="G7" s="19" t="s">
        <v>91</v>
      </c>
      <c r="H7" s="19" t="s">
        <v>148</v>
      </c>
      <c r="I7" s="19" t="n">
        <v>1</v>
      </c>
      <c r="J7" s="23" t="n">
        <v>49.9</v>
      </c>
      <c r="K7" s="19" t="s">
        <v>151</v>
      </c>
      <c r="L7" s="22"/>
      <c r="M7" s="19" t="n">
        <v>10</v>
      </c>
      <c r="N7" s="19" t="n">
        <v>1</v>
      </c>
      <c r="O7" s="19" t="n">
        <v>20</v>
      </c>
      <c r="P7" s="19" t="s">
        <v>78</v>
      </c>
      <c r="Q7" s="21" t="n">
        <v>46315</v>
      </c>
      <c r="R7" s="23" t="n">
        <v>69.9</v>
      </c>
      <c r="S7" s="19" t="s">
        <v>92</v>
      </c>
      <c r="T7" s="18" t="str">
        <f aca="false">IF($C7="","",IFERROR(INDEX(Fournisseurs!$C$5:$C$24,MATCH($C7,Fournisseurs!$A$5:$A$24,0)),""))</f>
        <v>CHF</v>
      </c>
      <c r="U7" s="25" t="n">
        <f aca="false">IF($C7="","",IFERROR(INDEX(Fournisseurs!$D$5:$D$24,MATCH($C7,Fournisseurs!$A$5:$A$24,0)),""))</f>
        <v>1</v>
      </c>
      <c r="V7" s="26" t="n">
        <f aca="false">IF($C7="","",IFERROR(INDEX(Fournisseurs!$G$5:$G$24,MATCH($C7,Fournisseurs!$A$5:$A$24,0)),""))</f>
        <v>0.081</v>
      </c>
      <c r="W7" s="18" t="str">
        <f aca="false">IF($C7="","",IFERROR(INDEX(Fournisseurs!$H$5:$H$24,MATCH($C7,Fournisseurs!$A$5:$A$24,0)),""))</f>
        <v>CH</v>
      </c>
      <c r="X7" s="18" t="str">
        <f aca="false">IF($C7="","",IFERROR(INDEX(Fournisseurs!$B$5:$B$24,MATCH($C7,Fournisseurs!$A$5:$A$24,0)),""))</f>
        <v>CH</v>
      </c>
      <c r="Y7" s="18" t="n">
        <f aca="false">IF($A7="","",IF(AND($A7&lt;&gt;"",$C7&lt;&gt;"",ISNUMBER($I7),ISNUMBER($J7),ISNUMBER($M7)),IF(AND($I7&gt;=1,$J7&gt;0,OR($K7="HT",$K7="TTC"),$M7&gt;=1,IFERROR(INDEX(Fournisseurs!$T$5:$T$24,MATCH($C7,Fournisseurs!$A$5:$A$24,0)),0)=1),1,0),0))</f>
        <v>1</v>
      </c>
      <c r="Z7" s="27" t="n">
        <f aca="false">IF($Y7=1,$J7*(1-N($L7)),"")</f>
        <v>49.9</v>
      </c>
      <c r="AA7" s="28" t="n">
        <f aca="false">IF($Y7=1,IF($K7="TTC",$Z7/(1+$V7),$Z7),"")</f>
        <v>46.1609620721554</v>
      </c>
      <c r="AB7" s="28" t="n">
        <f aca="false">IF($Y7=1,IF($K7="TTC",$Z7-$AA7,$AA7*$V7),"")</f>
        <v>3.73903792784459</v>
      </c>
      <c r="AC7" s="27" t="n">
        <f aca="false">IF($Y7=1,$AA7*$U7*$M7,"")</f>
        <v>461.609620721554</v>
      </c>
      <c r="AD7" s="26" t="n">
        <f aca="false">IF($Y7=1,$AC7/SUMIFS($AC$6:$AC$205,$C$6:$C$205,$C7,$Y$6:$Y$205,1),"")</f>
        <v>1</v>
      </c>
      <c r="AE7" s="28" t="n">
        <f aca="false">IF($Y7=1,(INDEX(Fournisseurs!$J$5:$J$24,MATCH($C7,Fournisseurs!$A$5:$A$24,0))+INDEX(Fournisseurs!$K$5:$K$24,MATCH($C7,Fournisseurs!$A$5:$A$24,0)))*$U7*$AD7/($I7*$M7),"")</f>
        <v>1.5</v>
      </c>
      <c r="AF7" s="28" t="n">
        <f aca="false">IF($Y7=1,INDEX(Fournisseurs!$L$5:$L$24,MATCH($C7,Fournisseurs!$A$5:$A$24,0))*$AD7/($I7*$M7),"")</f>
        <v>0</v>
      </c>
      <c r="AG7" s="28" t="n">
        <f aca="false">IF($Y7=1,$AA7*$U7/$I7,"")</f>
        <v>46.1609620721554</v>
      </c>
      <c r="AH7" s="28" t="n">
        <f aca="false">IF($Y7=1,$AB7*$U7/$I7,"")</f>
        <v>3.73903792784459</v>
      </c>
      <c r="AI7" s="18" t="n">
        <f aca="false">IF($Y7=1,IF(AND(Paramètres!$B$4="EFFECTIVE",$W7="CH",$AB7&gt;0),1,0),"")</f>
        <v>1</v>
      </c>
      <c r="AJ7" s="28" t="n">
        <f aca="false">IF($Y7=1,IF($X7&lt;&gt;"CH",($AG7+$AE7+$AF7)*Paramètres!$B$14,0),"")</f>
        <v>0</v>
      </c>
      <c r="AK7" s="29" t="n">
        <f aca="false">IF($Y7=1,$AG7+IF($AI7=1,0,$AH7)+$AE7+$AF7+IF(Paramètres!$B$4="NOT_REGISTERED",$AJ7,0),"")</f>
        <v>47.6609620721554</v>
      </c>
      <c r="AL7" s="27" t="n">
        <f aca="false">IF($Y7=1,($AK7+Paramètres!$B$7+Paramètres!$B$8+Paramètres!$B$9+Paramètres!$B$10)/((1-Paramètres!$B$11)/(1+Paramètres!$B$5)-Paramètres!$B$6),"")</f>
        <v>79.6594973964229</v>
      </c>
      <c r="AM7" s="26" t="n">
        <f aca="false">IF(AND($Y7=1,ISNUMBER($R7)),IF($R7&gt;0,$AL7/$R7-1,""),"")</f>
        <v>0.139620849734233</v>
      </c>
      <c r="AN7" s="27" t="n">
        <f aca="false">IF(AND($Y7=1,ISNUMBER($R7)),IF($R7&gt;0,$R7/(1+Paramètres!$B$5)-$AK7-($R7*Paramètres!$B$6+Paramètres!$B$7)-Paramètres!$B$8-Paramètres!$B$9-Paramètres!$B$10,""),"")</f>
        <v>5.95388760407032</v>
      </c>
      <c r="AO7" s="26" t="n">
        <f aca="false">IF(ISNUMBER($AN7),$AN7/($R7/(1+Paramètres!$B$5)),"")</f>
        <v>0.0920765736766811</v>
      </c>
      <c r="AP7" s="30" t="str">
        <f aca="false">IF($A7="","",IF($Y7&lt;&gt;1,"INCOMPLET",IF(NOT(ISNUMBER($AM7)),"SANS RÉF. MARCHÉ",IF($AM7&lt;=Paramètres!$B$12,"OK",IF(AND($AO7&gt;=Paramètres!$B$15,$AN7&gt;=Paramètres!$B$16),"À REVOIR","NON RENTABLE")))))</f>
        <v>NON RENTABLE</v>
      </c>
      <c r="AQ7" s="18" t="str">
        <f aca="false">TRIM(IF(AND($Y7=1,ISNUMBER($N7)),IF($M7&lt;$N7,"MOQ ",""),"")&amp;IF(AND($Y7=1,ISNUMBER($O7)),IF($O7&lt;$I7*$M7,"DISPO ",""),"")&amp;IF($S7="O","FICTIF ","")&amp;IF($Y7=1,IF(AND($K7="TTC",$W7&lt;&gt;"CH"),"TVA-ÉTRANGÈRE ",""),""))</f>
        <v>FICTIF</v>
      </c>
      <c r="AR7" s="18" t="n">
        <f aca="false">IF($Y7=1,COUNTIFS($A$6:$A$205,$A7,$AK$6:$AK$205,"&lt;"&amp;$AK7,$Y$6:$Y$205,1)+1,"")</f>
        <v>2</v>
      </c>
      <c r="AS7" s="18" t="str">
        <f aca="false">IF(ISNUMBER($AR7),$A7&amp;"|"&amp;$AR7,"")</f>
        <v>FICTIF_R00|2</v>
      </c>
      <c r="AT7" s="27" t="n">
        <f aca="false">IF($Y7=1,$AK7*$I7*$M7,"")</f>
        <v>476.609620721554</v>
      </c>
    </row>
    <row r="8" customFormat="false" ht="15" hidden="false" customHeight="false" outlineLevel="0" collapsed="false">
      <c r="A8" s="9" t="s">
        <v>152</v>
      </c>
      <c r="B8" s="9" t="s">
        <v>153</v>
      </c>
      <c r="C8" s="9" t="s">
        <v>76</v>
      </c>
      <c r="D8" s="9"/>
      <c r="E8" s="9"/>
      <c r="F8" s="9"/>
      <c r="G8" s="9" t="s">
        <v>154</v>
      </c>
      <c r="H8" s="9" t="s">
        <v>155</v>
      </c>
      <c r="I8" s="9"/>
      <c r="J8" s="13"/>
      <c r="K8" s="9"/>
      <c r="L8" s="12"/>
      <c r="M8" s="9"/>
      <c r="N8" s="9"/>
      <c r="O8" s="9"/>
      <c r="P8" s="9"/>
      <c r="Q8" s="16"/>
      <c r="R8" s="13"/>
      <c r="S8" s="9" t="s">
        <v>78</v>
      </c>
      <c r="T8" s="18" t="n">
        <f aca="false">IF($C8="","",IFERROR(INDEX(Fournisseurs!$C$5:$C$24,MATCH($C8,Fournisseurs!$A$5:$A$24,0)),""))</f>
        <v>0</v>
      </c>
      <c r="U8" s="25" t="n">
        <f aca="false">IF($C8="","",IFERROR(INDEX(Fournisseurs!$D$5:$D$24,MATCH($C8,Fournisseurs!$A$5:$A$24,0)),""))</f>
        <v>0</v>
      </c>
      <c r="V8" s="26" t="n">
        <f aca="false">IF($C8="","",IFERROR(INDEX(Fournisseurs!$G$5:$G$24,MATCH($C8,Fournisseurs!$A$5:$A$24,0)),""))</f>
        <v>0</v>
      </c>
      <c r="W8" s="18" t="n">
        <f aca="false">IF($C8="","",IFERROR(INDEX(Fournisseurs!$H$5:$H$24,MATCH($C8,Fournisseurs!$A$5:$A$24,0)),""))</f>
        <v>0</v>
      </c>
      <c r="X8" s="18" t="n">
        <f aca="false">IF($C8="","",IFERROR(INDEX(Fournisseurs!$B$5:$B$24,MATCH($C8,Fournisseurs!$A$5:$A$24,0)),""))</f>
        <v>0</v>
      </c>
      <c r="Y8" s="18" t="n">
        <f aca="false">IF($A8="","",IF(AND($A8&lt;&gt;"",$C8&lt;&gt;"",ISNUMBER($I8),ISNUMBER($J8),ISNUMBER($M8)),IF(AND($I8&gt;=1,$J8&gt;0,OR($K8="HT",$K8="TTC"),$M8&gt;=1,IFERROR(INDEX(Fournisseurs!$T$5:$T$24,MATCH($C8,Fournisseurs!$A$5:$A$24,0)),0)=1),1,0),0))</f>
        <v>0</v>
      </c>
      <c r="Z8" s="27" t="str">
        <f aca="false">IF($Y8=1,$J8*(1-N($L8)),"")</f>
        <v/>
      </c>
      <c r="AA8" s="28" t="str">
        <f aca="false">IF($Y8=1,IF($K8="TTC",$Z8/(1+$V8),$Z8),"")</f>
        <v/>
      </c>
      <c r="AB8" s="28" t="str">
        <f aca="false">IF($Y8=1,IF($K8="TTC",$Z8-$AA8,$AA8*$V8),"")</f>
        <v/>
      </c>
      <c r="AC8" s="27" t="str">
        <f aca="false">IF($Y8=1,$AA8*$U8*$M8,"")</f>
        <v/>
      </c>
      <c r="AD8" s="26" t="str">
        <f aca="false">IF($Y8=1,$AC8/SUMIFS($AC$6:$AC$205,$C$6:$C$205,$C8,$Y$6:$Y$205,1),"")</f>
        <v/>
      </c>
      <c r="AE8" s="28" t="str">
        <f aca="false">IF($Y8=1,(INDEX(Fournisseurs!$J$5:$J$24,MATCH($C8,Fournisseurs!$A$5:$A$24,0))+INDEX(Fournisseurs!$K$5:$K$24,MATCH($C8,Fournisseurs!$A$5:$A$24,0)))*$U8*$AD8/($I8*$M8),"")</f>
        <v/>
      </c>
      <c r="AF8" s="28" t="str">
        <f aca="false">IF($Y8=1,INDEX(Fournisseurs!$L$5:$L$24,MATCH($C8,Fournisseurs!$A$5:$A$24,0))*$AD8/($I8*$M8),"")</f>
        <v/>
      </c>
      <c r="AG8" s="28" t="str">
        <f aca="false">IF($Y8=1,$AA8*$U8/$I8,"")</f>
        <v/>
      </c>
      <c r="AH8" s="28" t="str">
        <f aca="false">IF($Y8=1,$AB8*$U8/$I8,"")</f>
        <v/>
      </c>
      <c r="AI8" s="18" t="str">
        <f aca="false">IF($Y8=1,IF(AND(Paramètres!$B$4="EFFECTIVE",$W8="CH",$AB8&gt;0),1,0),"")</f>
        <v/>
      </c>
      <c r="AJ8" s="28" t="str">
        <f aca="false">IF($Y8=1,IF($X8&lt;&gt;"CH",($AG8+$AE8+$AF8)*Paramètres!$B$14,0),"")</f>
        <v/>
      </c>
      <c r="AK8" s="29" t="str">
        <f aca="false">IF($Y8=1,$AG8+IF($AI8=1,0,$AH8)+$AE8+$AF8+IF(Paramètres!$B$4="NOT_REGISTERED",$AJ8,0),"")</f>
        <v/>
      </c>
      <c r="AL8" s="27" t="str">
        <f aca="false">IF($Y8=1,($AK8+Paramètres!$B$7+Paramètres!$B$8+Paramètres!$B$9+Paramètres!$B$10)/((1-Paramètres!$B$11)/(1+Paramètres!$B$5)-Paramètres!$B$6),"")</f>
        <v/>
      </c>
      <c r="AM8" s="26" t="str">
        <f aca="false">IF(AND($Y8=1,ISNUMBER($R8)),IF($R8&gt;0,$AL8/$R8-1,""),"")</f>
        <v/>
      </c>
      <c r="AN8" s="27" t="str">
        <f aca="false">IF(AND($Y8=1,ISNUMBER($R8)),IF($R8&gt;0,$R8/(1+Paramètres!$B$5)-$AK8-($R8*Paramètres!$B$6+Paramètres!$B$7)-Paramètres!$B$8-Paramètres!$B$9-Paramètres!$B$10,""),"")</f>
        <v/>
      </c>
      <c r="AO8" s="26" t="str">
        <f aca="false">IF(ISNUMBER($AN8),$AN8/($R8/(1+Paramètres!$B$5)),"")</f>
        <v/>
      </c>
      <c r="AP8" s="30" t="str">
        <f aca="false">IF($A8="","",IF($Y8&lt;&gt;1,"INCOMPLET",IF(NOT(ISNUMBER($AM8)),"SANS RÉF. MARCHÉ",IF($AM8&lt;=Paramètres!$B$12,"OK",IF(AND($AO8&gt;=Paramètres!$B$15,$AN8&gt;=Paramètres!$B$16),"À REVOIR","NON RENTABLE")))))</f>
        <v>INCOMPLET</v>
      </c>
      <c r="AQ8" s="18" t="str">
        <f aca="false">TRIM(IF(AND($Y8=1,ISNUMBER($N8)),IF($M8&lt;$N8,"MOQ ",""),"")&amp;IF(AND($Y8=1,ISNUMBER($O8)),IF($O8&lt;$I8*$M8,"DISPO ",""),"")&amp;IF($S8="O","FICTIF ","")&amp;IF($Y8=1,IF(AND($K8="TTC",$W8&lt;&gt;"CH"),"TVA-ÉTRANGÈRE ",""),""))</f>
        <v/>
      </c>
      <c r="AR8" s="18" t="str">
        <f aca="false">IF($Y8=1,COUNTIFS($A$6:$A$205,$A8,$AK$6:$AK$205,"&lt;"&amp;$AK8,$Y$6:$Y$205,1)+1,"")</f>
        <v/>
      </c>
      <c r="AS8" s="18" t="str">
        <f aca="false">IF(ISNUMBER($AR8),$A8&amp;"|"&amp;$AR8,"")</f>
        <v/>
      </c>
      <c r="AT8" s="27" t="str">
        <f aca="false">IF($Y8=1,$AK8*$I8*$M8,"")</f>
        <v/>
      </c>
    </row>
    <row r="9" customFormat="false" ht="15" hidden="false" customHeight="false" outlineLevel="0" collapsed="false">
      <c r="A9" s="9" t="s">
        <v>156</v>
      </c>
      <c r="B9" s="9" t="s">
        <v>157</v>
      </c>
      <c r="C9" s="9" t="s">
        <v>76</v>
      </c>
      <c r="D9" s="9"/>
      <c r="E9" s="9"/>
      <c r="F9" s="9"/>
      <c r="G9" s="9" t="s">
        <v>158</v>
      </c>
      <c r="H9" s="9" t="s">
        <v>155</v>
      </c>
      <c r="I9" s="9"/>
      <c r="J9" s="13"/>
      <c r="K9" s="9"/>
      <c r="L9" s="12"/>
      <c r="M9" s="9"/>
      <c r="N9" s="9"/>
      <c r="O9" s="9"/>
      <c r="P9" s="9"/>
      <c r="Q9" s="16"/>
      <c r="R9" s="13"/>
      <c r="S9" s="9" t="s">
        <v>78</v>
      </c>
      <c r="T9" s="18" t="n">
        <f aca="false">IF($C9="","",IFERROR(INDEX(Fournisseurs!$C$5:$C$24,MATCH($C9,Fournisseurs!$A$5:$A$24,0)),""))</f>
        <v>0</v>
      </c>
      <c r="U9" s="25" t="n">
        <f aca="false">IF($C9="","",IFERROR(INDEX(Fournisseurs!$D$5:$D$24,MATCH($C9,Fournisseurs!$A$5:$A$24,0)),""))</f>
        <v>0</v>
      </c>
      <c r="V9" s="26" t="n">
        <f aca="false">IF($C9="","",IFERROR(INDEX(Fournisseurs!$G$5:$G$24,MATCH($C9,Fournisseurs!$A$5:$A$24,0)),""))</f>
        <v>0</v>
      </c>
      <c r="W9" s="18" t="n">
        <f aca="false">IF($C9="","",IFERROR(INDEX(Fournisseurs!$H$5:$H$24,MATCH($C9,Fournisseurs!$A$5:$A$24,0)),""))</f>
        <v>0</v>
      </c>
      <c r="X9" s="18" t="n">
        <f aca="false">IF($C9="","",IFERROR(INDEX(Fournisseurs!$B$5:$B$24,MATCH($C9,Fournisseurs!$A$5:$A$24,0)),""))</f>
        <v>0</v>
      </c>
      <c r="Y9" s="18" t="n">
        <f aca="false">IF($A9="","",IF(AND($A9&lt;&gt;"",$C9&lt;&gt;"",ISNUMBER($I9),ISNUMBER($J9),ISNUMBER($M9)),IF(AND($I9&gt;=1,$J9&gt;0,OR($K9="HT",$K9="TTC"),$M9&gt;=1,IFERROR(INDEX(Fournisseurs!$T$5:$T$24,MATCH($C9,Fournisseurs!$A$5:$A$24,0)),0)=1),1,0),0))</f>
        <v>0</v>
      </c>
      <c r="Z9" s="27" t="str">
        <f aca="false">IF($Y9=1,$J9*(1-N($L9)),"")</f>
        <v/>
      </c>
      <c r="AA9" s="28" t="str">
        <f aca="false">IF($Y9=1,IF($K9="TTC",$Z9/(1+$V9),$Z9),"")</f>
        <v/>
      </c>
      <c r="AB9" s="28" t="str">
        <f aca="false">IF($Y9=1,IF($K9="TTC",$Z9-$AA9,$AA9*$V9),"")</f>
        <v/>
      </c>
      <c r="AC9" s="27" t="str">
        <f aca="false">IF($Y9=1,$AA9*$U9*$M9,"")</f>
        <v/>
      </c>
      <c r="AD9" s="26" t="str">
        <f aca="false">IF($Y9=1,$AC9/SUMIFS($AC$6:$AC$205,$C$6:$C$205,$C9,$Y$6:$Y$205,1),"")</f>
        <v/>
      </c>
      <c r="AE9" s="28" t="str">
        <f aca="false">IF($Y9=1,(INDEX(Fournisseurs!$J$5:$J$24,MATCH($C9,Fournisseurs!$A$5:$A$24,0))+INDEX(Fournisseurs!$K$5:$K$24,MATCH($C9,Fournisseurs!$A$5:$A$24,0)))*$U9*$AD9/($I9*$M9),"")</f>
        <v/>
      </c>
      <c r="AF9" s="28" t="str">
        <f aca="false">IF($Y9=1,INDEX(Fournisseurs!$L$5:$L$24,MATCH($C9,Fournisseurs!$A$5:$A$24,0))*$AD9/($I9*$M9),"")</f>
        <v/>
      </c>
      <c r="AG9" s="28" t="str">
        <f aca="false">IF($Y9=1,$AA9*$U9/$I9,"")</f>
        <v/>
      </c>
      <c r="AH9" s="28" t="str">
        <f aca="false">IF($Y9=1,$AB9*$U9/$I9,"")</f>
        <v/>
      </c>
      <c r="AI9" s="18" t="str">
        <f aca="false">IF($Y9=1,IF(AND(Paramètres!$B$4="EFFECTIVE",$W9="CH",$AB9&gt;0),1,0),"")</f>
        <v/>
      </c>
      <c r="AJ9" s="28" t="str">
        <f aca="false">IF($Y9=1,IF($X9&lt;&gt;"CH",($AG9+$AE9+$AF9)*Paramètres!$B$14,0),"")</f>
        <v/>
      </c>
      <c r="AK9" s="29" t="str">
        <f aca="false">IF($Y9=1,$AG9+IF($AI9=1,0,$AH9)+$AE9+$AF9+IF(Paramètres!$B$4="NOT_REGISTERED",$AJ9,0),"")</f>
        <v/>
      </c>
      <c r="AL9" s="27" t="str">
        <f aca="false">IF($Y9=1,($AK9+Paramètres!$B$7+Paramètres!$B$8+Paramètres!$B$9+Paramètres!$B$10)/((1-Paramètres!$B$11)/(1+Paramètres!$B$5)-Paramètres!$B$6),"")</f>
        <v/>
      </c>
      <c r="AM9" s="26" t="str">
        <f aca="false">IF(AND($Y9=1,ISNUMBER($R9)),IF($R9&gt;0,$AL9/$R9-1,""),"")</f>
        <v/>
      </c>
      <c r="AN9" s="27" t="str">
        <f aca="false">IF(AND($Y9=1,ISNUMBER($R9)),IF($R9&gt;0,$R9/(1+Paramètres!$B$5)-$AK9-($R9*Paramètres!$B$6+Paramètres!$B$7)-Paramètres!$B$8-Paramètres!$B$9-Paramètres!$B$10,""),"")</f>
        <v/>
      </c>
      <c r="AO9" s="26" t="str">
        <f aca="false">IF(ISNUMBER($AN9),$AN9/($R9/(1+Paramètres!$B$5)),"")</f>
        <v/>
      </c>
      <c r="AP9" s="30" t="str">
        <f aca="false">IF($A9="","",IF($Y9&lt;&gt;1,"INCOMPLET",IF(NOT(ISNUMBER($AM9)),"SANS RÉF. MARCHÉ",IF($AM9&lt;=Paramètres!$B$12,"OK",IF(AND($AO9&gt;=Paramètres!$B$15,$AN9&gt;=Paramètres!$B$16),"À REVOIR","NON RENTABLE")))))</f>
        <v>INCOMPLET</v>
      </c>
      <c r="AQ9" s="18" t="str">
        <f aca="false">TRIM(IF(AND($Y9=1,ISNUMBER($N9)),IF($M9&lt;$N9,"MOQ ",""),"")&amp;IF(AND($Y9=1,ISNUMBER($O9)),IF($O9&lt;$I9*$M9,"DISPO ",""),"")&amp;IF($S9="O","FICTIF ","")&amp;IF($Y9=1,IF(AND($K9="TTC",$W9&lt;&gt;"CH"),"TVA-ÉTRANGÈRE ",""),""))</f>
        <v/>
      </c>
      <c r="AR9" s="18" t="str">
        <f aca="false">IF($Y9=1,COUNTIFS($A$6:$A$205,$A9,$AK$6:$AK$205,"&lt;"&amp;$AK9,$Y$6:$Y$205,1)+1,"")</f>
        <v/>
      </c>
      <c r="AS9" s="18" t="str">
        <f aca="false">IF(ISNUMBER($AR9),$A9&amp;"|"&amp;$AR9,"")</f>
        <v/>
      </c>
      <c r="AT9" s="27" t="str">
        <f aca="false">IF($Y9=1,$AK9*$I9*$M9,"")</f>
        <v/>
      </c>
    </row>
    <row r="10" customFormat="false" ht="15" hidden="false" customHeight="false" outlineLevel="0" collapsed="false">
      <c r="A10" s="9" t="s">
        <v>159</v>
      </c>
      <c r="B10" s="9" t="s">
        <v>160</v>
      </c>
      <c r="C10" s="9" t="s">
        <v>76</v>
      </c>
      <c r="D10" s="9"/>
      <c r="E10" s="9"/>
      <c r="F10" s="9"/>
      <c r="G10" s="9" t="s">
        <v>161</v>
      </c>
      <c r="H10" s="9" t="s">
        <v>148</v>
      </c>
      <c r="I10" s="9"/>
      <c r="J10" s="13"/>
      <c r="K10" s="9"/>
      <c r="L10" s="12"/>
      <c r="M10" s="9"/>
      <c r="N10" s="9"/>
      <c r="O10" s="9"/>
      <c r="P10" s="9"/>
      <c r="Q10" s="16"/>
      <c r="R10" s="13"/>
      <c r="S10" s="9" t="s">
        <v>78</v>
      </c>
      <c r="T10" s="18" t="n">
        <f aca="false">IF($C10="","",IFERROR(INDEX(Fournisseurs!$C$5:$C$24,MATCH($C10,Fournisseurs!$A$5:$A$24,0)),""))</f>
        <v>0</v>
      </c>
      <c r="U10" s="25" t="n">
        <f aca="false">IF($C10="","",IFERROR(INDEX(Fournisseurs!$D$5:$D$24,MATCH($C10,Fournisseurs!$A$5:$A$24,0)),""))</f>
        <v>0</v>
      </c>
      <c r="V10" s="26" t="n">
        <f aca="false">IF($C10="","",IFERROR(INDEX(Fournisseurs!$G$5:$G$24,MATCH($C10,Fournisseurs!$A$5:$A$24,0)),""))</f>
        <v>0</v>
      </c>
      <c r="W10" s="18" t="n">
        <f aca="false">IF($C10="","",IFERROR(INDEX(Fournisseurs!$H$5:$H$24,MATCH($C10,Fournisseurs!$A$5:$A$24,0)),""))</f>
        <v>0</v>
      </c>
      <c r="X10" s="18" t="n">
        <f aca="false">IF($C10="","",IFERROR(INDEX(Fournisseurs!$B$5:$B$24,MATCH($C10,Fournisseurs!$A$5:$A$24,0)),""))</f>
        <v>0</v>
      </c>
      <c r="Y10" s="18" t="n">
        <f aca="false">IF($A10="","",IF(AND($A10&lt;&gt;"",$C10&lt;&gt;"",ISNUMBER($I10),ISNUMBER($J10),ISNUMBER($M10)),IF(AND($I10&gt;=1,$J10&gt;0,OR($K10="HT",$K10="TTC"),$M10&gt;=1,IFERROR(INDEX(Fournisseurs!$T$5:$T$24,MATCH($C10,Fournisseurs!$A$5:$A$24,0)),0)=1),1,0),0))</f>
        <v>0</v>
      </c>
      <c r="Z10" s="27" t="str">
        <f aca="false">IF($Y10=1,$J10*(1-N($L10)),"")</f>
        <v/>
      </c>
      <c r="AA10" s="28" t="str">
        <f aca="false">IF($Y10=1,IF($K10="TTC",$Z10/(1+$V10),$Z10),"")</f>
        <v/>
      </c>
      <c r="AB10" s="28" t="str">
        <f aca="false">IF($Y10=1,IF($K10="TTC",$Z10-$AA10,$AA10*$V10),"")</f>
        <v/>
      </c>
      <c r="AC10" s="27" t="str">
        <f aca="false">IF($Y10=1,$AA10*$U10*$M10,"")</f>
        <v/>
      </c>
      <c r="AD10" s="26" t="str">
        <f aca="false">IF($Y10=1,$AC10/SUMIFS($AC$6:$AC$205,$C$6:$C$205,$C10,$Y$6:$Y$205,1),"")</f>
        <v/>
      </c>
      <c r="AE10" s="28" t="str">
        <f aca="false">IF($Y10=1,(INDEX(Fournisseurs!$J$5:$J$24,MATCH($C10,Fournisseurs!$A$5:$A$24,0))+INDEX(Fournisseurs!$K$5:$K$24,MATCH($C10,Fournisseurs!$A$5:$A$24,0)))*$U10*$AD10/($I10*$M10),"")</f>
        <v/>
      </c>
      <c r="AF10" s="28" t="str">
        <f aca="false">IF($Y10=1,INDEX(Fournisseurs!$L$5:$L$24,MATCH($C10,Fournisseurs!$A$5:$A$24,0))*$AD10/($I10*$M10),"")</f>
        <v/>
      </c>
      <c r="AG10" s="28" t="str">
        <f aca="false">IF($Y10=1,$AA10*$U10/$I10,"")</f>
        <v/>
      </c>
      <c r="AH10" s="28" t="str">
        <f aca="false">IF($Y10=1,$AB10*$U10/$I10,"")</f>
        <v/>
      </c>
      <c r="AI10" s="18" t="str">
        <f aca="false">IF($Y10=1,IF(AND(Paramètres!$B$4="EFFECTIVE",$W10="CH",$AB10&gt;0),1,0),"")</f>
        <v/>
      </c>
      <c r="AJ10" s="28" t="str">
        <f aca="false">IF($Y10=1,IF($X10&lt;&gt;"CH",($AG10+$AE10+$AF10)*Paramètres!$B$14,0),"")</f>
        <v/>
      </c>
      <c r="AK10" s="29" t="str">
        <f aca="false">IF($Y10=1,$AG10+IF($AI10=1,0,$AH10)+$AE10+$AF10+IF(Paramètres!$B$4="NOT_REGISTERED",$AJ10,0),"")</f>
        <v/>
      </c>
      <c r="AL10" s="27" t="str">
        <f aca="false">IF($Y10=1,($AK10+Paramètres!$B$7+Paramètres!$B$8+Paramètres!$B$9+Paramètres!$B$10)/((1-Paramètres!$B$11)/(1+Paramètres!$B$5)-Paramètres!$B$6),"")</f>
        <v/>
      </c>
      <c r="AM10" s="26" t="str">
        <f aca="false">IF(AND($Y10=1,ISNUMBER($R10)),IF($R10&gt;0,$AL10/$R10-1,""),"")</f>
        <v/>
      </c>
      <c r="AN10" s="27" t="str">
        <f aca="false">IF(AND($Y10=1,ISNUMBER($R10)),IF($R10&gt;0,$R10/(1+Paramètres!$B$5)-$AK10-($R10*Paramètres!$B$6+Paramètres!$B$7)-Paramètres!$B$8-Paramètres!$B$9-Paramètres!$B$10,""),"")</f>
        <v/>
      </c>
      <c r="AO10" s="26" t="str">
        <f aca="false">IF(ISNUMBER($AN10),$AN10/($R10/(1+Paramètres!$B$5)),"")</f>
        <v/>
      </c>
      <c r="AP10" s="30" t="str">
        <f aca="false">IF($A10="","",IF($Y10&lt;&gt;1,"INCOMPLET",IF(NOT(ISNUMBER($AM10)),"SANS RÉF. MARCHÉ",IF($AM10&lt;=Paramètres!$B$12,"OK",IF(AND($AO10&gt;=Paramètres!$B$15,$AN10&gt;=Paramètres!$B$16),"À REVOIR","NON RENTABLE")))))</f>
        <v>INCOMPLET</v>
      </c>
      <c r="AQ10" s="18" t="str">
        <f aca="false">TRIM(IF(AND($Y10=1,ISNUMBER($N10)),IF($M10&lt;$N10,"MOQ ",""),"")&amp;IF(AND($Y10=1,ISNUMBER($O10)),IF($O10&lt;$I10*$M10,"DISPO ",""),"")&amp;IF($S10="O","FICTIF ","")&amp;IF($Y10=1,IF(AND($K10="TTC",$W10&lt;&gt;"CH"),"TVA-ÉTRANGÈRE ",""),""))</f>
        <v/>
      </c>
      <c r="AR10" s="18" t="str">
        <f aca="false">IF($Y10=1,COUNTIFS($A$6:$A$205,$A10,$AK$6:$AK$205,"&lt;"&amp;$AK10,$Y$6:$Y$205,1)+1,"")</f>
        <v/>
      </c>
      <c r="AS10" s="18" t="str">
        <f aca="false">IF(ISNUMBER($AR10),$A10&amp;"|"&amp;$AR10,"")</f>
        <v/>
      </c>
      <c r="AT10" s="27" t="str">
        <f aca="false">IF($Y10=1,$AK10*$I10*$M10,"")</f>
        <v/>
      </c>
    </row>
    <row r="11" customFormat="false" ht="15" hidden="false" customHeight="false" outlineLevel="0" collapsed="false">
      <c r="A11" s="9" t="s">
        <v>162</v>
      </c>
      <c r="B11" s="9" t="s">
        <v>163</v>
      </c>
      <c r="C11" s="9" t="s">
        <v>76</v>
      </c>
      <c r="D11" s="9"/>
      <c r="E11" s="9"/>
      <c r="F11" s="9"/>
      <c r="G11" s="9" t="s">
        <v>154</v>
      </c>
      <c r="H11" s="9" t="s">
        <v>148</v>
      </c>
      <c r="I11" s="9"/>
      <c r="J11" s="13"/>
      <c r="K11" s="9"/>
      <c r="L11" s="12"/>
      <c r="M11" s="9"/>
      <c r="N11" s="9"/>
      <c r="O11" s="9"/>
      <c r="P11" s="9"/>
      <c r="Q11" s="16"/>
      <c r="R11" s="13"/>
      <c r="S11" s="9" t="s">
        <v>78</v>
      </c>
      <c r="T11" s="18" t="n">
        <f aca="false">IF($C11="","",IFERROR(INDEX(Fournisseurs!$C$5:$C$24,MATCH($C11,Fournisseurs!$A$5:$A$24,0)),""))</f>
        <v>0</v>
      </c>
      <c r="U11" s="25" t="n">
        <f aca="false">IF($C11="","",IFERROR(INDEX(Fournisseurs!$D$5:$D$24,MATCH($C11,Fournisseurs!$A$5:$A$24,0)),""))</f>
        <v>0</v>
      </c>
      <c r="V11" s="26" t="n">
        <f aca="false">IF($C11="","",IFERROR(INDEX(Fournisseurs!$G$5:$G$24,MATCH($C11,Fournisseurs!$A$5:$A$24,0)),""))</f>
        <v>0</v>
      </c>
      <c r="W11" s="18" t="n">
        <f aca="false">IF($C11="","",IFERROR(INDEX(Fournisseurs!$H$5:$H$24,MATCH($C11,Fournisseurs!$A$5:$A$24,0)),""))</f>
        <v>0</v>
      </c>
      <c r="X11" s="18" t="n">
        <f aca="false">IF($C11="","",IFERROR(INDEX(Fournisseurs!$B$5:$B$24,MATCH($C11,Fournisseurs!$A$5:$A$24,0)),""))</f>
        <v>0</v>
      </c>
      <c r="Y11" s="18" t="n">
        <f aca="false">IF($A11="","",IF(AND($A11&lt;&gt;"",$C11&lt;&gt;"",ISNUMBER($I11),ISNUMBER($J11),ISNUMBER($M11)),IF(AND($I11&gt;=1,$J11&gt;0,OR($K11="HT",$K11="TTC"),$M11&gt;=1,IFERROR(INDEX(Fournisseurs!$T$5:$T$24,MATCH($C11,Fournisseurs!$A$5:$A$24,0)),0)=1),1,0),0))</f>
        <v>0</v>
      </c>
      <c r="Z11" s="27" t="str">
        <f aca="false">IF($Y11=1,$J11*(1-N($L11)),"")</f>
        <v/>
      </c>
      <c r="AA11" s="28" t="str">
        <f aca="false">IF($Y11=1,IF($K11="TTC",$Z11/(1+$V11),$Z11),"")</f>
        <v/>
      </c>
      <c r="AB11" s="28" t="str">
        <f aca="false">IF($Y11=1,IF($K11="TTC",$Z11-$AA11,$AA11*$V11),"")</f>
        <v/>
      </c>
      <c r="AC11" s="27" t="str">
        <f aca="false">IF($Y11=1,$AA11*$U11*$M11,"")</f>
        <v/>
      </c>
      <c r="AD11" s="26" t="str">
        <f aca="false">IF($Y11=1,$AC11/SUMIFS($AC$6:$AC$205,$C$6:$C$205,$C11,$Y$6:$Y$205,1),"")</f>
        <v/>
      </c>
      <c r="AE11" s="28" t="str">
        <f aca="false">IF($Y11=1,(INDEX(Fournisseurs!$J$5:$J$24,MATCH($C11,Fournisseurs!$A$5:$A$24,0))+INDEX(Fournisseurs!$K$5:$K$24,MATCH($C11,Fournisseurs!$A$5:$A$24,0)))*$U11*$AD11/($I11*$M11),"")</f>
        <v/>
      </c>
      <c r="AF11" s="28" t="str">
        <f aca="false">IF($Y11=1,INDEX(Fournisseurs!$L$5:$L$24,MATCH($C11,Fournisseurs!$A$5:$A$24,0))*$AD11/($I11*$M11),"")</f>
        <v/>
      </c>
      <c r="AG11" s="28" t="str">
        <f aca="false">IF($Y11=1,$AA11*$U11/$I11,"")</f>
        <v/>
      </c>
      <c r="AH11" s="28" t="str">
        <f aca="false">IF($Y11=1,$AB11*$U11/$I11,"")</f>
        <v/>
      </c>
      <c r="AI11" s="18" t="str">
        <f aca="false">IF($Y11=1,IF(AND(Paramètres!$B$4="EFFECTIVE",$W11="CH",$AB11&gt;0),1,0),"")</f>
        <v/>
      </c>
      <c r="AJ11" s="28" t="str">
        <f aca="false">IF($Y11=1,IF($X11&lt;&gt;"CH",($AG11+$AE11+$AF11)*Paramètres!$B$14,0),"")</f>
        <v/>
      </c>
      <c r="AK11" s="29" t="str">
        <f aca="false">IF($Y11=1,$AG11+IF($AI11=1,0,$AH11)+$AE11+$AF11+IF(Paramètres!$B$4="NOT_REGISTERED",$AJ11,0),"")</f>
        <v/>
      </c>
      <c r="AL11" s="27" t="str">
        <f aca="false">IF($Y11=1,($AK11+Paramètres!$B$7+Paramètres!$B$8+Paramètres!$B$9+Paramètres!$B$10)/((1-Paramètres!$B$11)/(1+Paramètres!$B$5)-Paramètres!$B$6),"")</f>
        <v/>
      </c>
      <c r="AM11" s="26" t="str">
        <f aca="false">IF(AND($Y11=1,ISNUMBER($R11)),IF($R11&gt;0,$AL11/$R11-1,""),"")</f>
        <v/>
      </c>
      <c r="AN11" s="27" t="str">
        <f aca="false">IF(AND($Y11=1,ISNUMBER($R11)),IF($R11&gt;0,$R11/(1+Paramètres!$B$5)-$AK11-($R11*Paramètres!$B$6+Paramètres!$B$7)-Paramètres!$B$8-Paramètres!$B$9-Paramètres!$B$10,""),"")</f>
        <v/>
      </c>
      <c r="AO11" s="26" t="str">
        <f aca="false">IF(ISNUMBER($AN11),$AN11/($R11/(1+Paramètres!$B$5)),"")</f>
        <v/>
      </c>
      <c r="AP11" s="30" t="str">
        <f aca="false">IF($A11="","",IF($Y11&lt;&gt;1,"INCOMPLET",IF(NOT(ISNUMBER($AM11)),"SANS RÉF. MARCHÉ",IF($AM11&lt;=Paramètres!$B$12,"OK",IF(AND($AO11&gt;=Paramètres!$B$15,$AN11&gt;=Paramètres!$B$16),"À REVOIR","NON RENTABLE")))))</f>
        <v>INCOMPLET</v>
      </c>
      <c r="AQ11" s="18" t="str">
        <f aca="false">TRIM(IF(AND($Y11=1,ISNUMBER($N11)),IF($M11&lt;$N11,"MOQ ",""),"")&amp;IF(AND($Y11=1,ISNUMBER($O11)),IF($O11&lt;$I11*$M11,"DISPO ",""),"")&amp;IF($S11="O","FICTIF ","")&amp;IF($Y11=1,IF(AND($K11="TTC",$W11&lt;&gt;"CH"),"TVA-ÉTRANGÈRE ",""),""))</f>
        <v/>
      </c>
      <c r="AR11" s="18" t="str">
        <f aca="false">IF($Y11=1,COUNTIFS($A$6:$A$205,$A11,$AK$6:$AK$205,"&lt;"&amp;$AK11,$Y$6:$Y$205,1)+1,"")</f>
        <v/>
      </c>
      <c r="AS11" s="18" t="str">
        <f aca="false">IF(ISNUMBER($AR11),$A11&amp;"|"&amp;$AR11,"")</f>
        <v/>
      </c>
      <c r="AT11" s="27" t="str">
        <f aca="false">IF($Y11=1,$AK11*$I11*$M11,"")</f>
        <v/>
      </c>
    </row>
    <row r="12" customFormat="false" ht="15" hidden="false" customHeight="false" outlineLevel="0" collapsed="false">
      <c r="A12" s="9" t="s">
        <v>164</v>
      </c>
      <c r="B12" s="9" t="s">
        <v>165</v>
      </c>
      <c r="C12" s="9" t="s">
        <v>76</v>
      </c>
      <c r="D12" s="9"/>
      <c r="E12" s="9"/>
      <c r="F12" s="9"/>
      <c r="G12" s="9" t="s">
        <v>166</v>
      </c>
      <c r="H12" s="9" t="s">
        <v>148</v>
      </c>
      <c r="I12" s="9"/>
      <c r="J12" s="13"/>
      <c r="K12" s="9"/>
      <c r="L12" s="12"/>
      <c r="M12" s="9"/>
      <c r="N12" s="9"/>
      <c r="O12" s="9"/>
      <c r="P12" s="9"/>
      <c r="Q12" s="16"/>
      <c r="R12" s="13"/>
      <c r="S12" s="9" t="s">
        <v>78</v>
      </c>
      <c r="T12" s="18" t="n">
        <f aca="false">IF($C12="","",IFERROR(INDEX(Fournisseurs!$C$5:$C$24,MATCH($C12,Fournisseurs!$A$5:$A$24,0)),""))</f>
        <v>0</v>
      </c>
      <c r="U12" s="25" t="n">
        <f aca="false">IF($C12="","",IFERROR(INDEX(Fournisseurs!$D$5:$D$24,MATCH($C12,Fournisseurs!$A$5:$A$24,0)),""))</f>
        <v>0</v>
      </c>
      <c r="V12" s="26" t="n">
        <f aca="false">IF($C12="","",IFERROR(INDEX(Fournisseurs!$G$5:$G$24,MATCH($C12,Fournisseurs!$A$5:$A$24,0)),""))</f>
        <v>0</v>
      </c>
      <c r="W12" s="18" t="n">
        <f aca="false">IF($C12="","",IFERROR(INDEX(Fournisseurs!$H$5:$H$24,MATCH($C12,Fournisseurs!$A$5:$A$24,0)),""))</f>
        <v>0</v>
      </c>
      <c r="X12" s="18" t="n">
        <f aca="false">IF($C12="","",IFERROR(INDEX(Fournisseurs!$B$5:$B$24,MATCH($C12,Fournisseurs!$A$5:$A$24,0)),""))</f>
        <v>0</v>
      </c>
      <c r="Y12" s="18" t="n">
        <f aca="false">IF($A12="","",IF(AND($A12&lt;&gt;"",$C12&lt;&gt;"",ISNUMBER($I12),ISNUMBER($J12),ISNUMBER($M12)),IF(AND($I12&gt;=1,$J12&gt;0,OR($K12="HT",$K12="TTC"),$M12&gt;=1,IFERROR(INDEX(Fournisseurs!$T$5:$T$24,MATCH($C12,Fournisseurs!$A$5:$A$24,0)),0)=1),1,0),0))</f>
        <v>0</v>
      </c>
      <c r="Z12" s="27" t="str">
        <f aca="false">IF($Y12=1,$J12*(1-N($L12)),"")</f>
        <v/>
      </c>
      <c r="AA12" s="28" t="str">
        <f aca="false">IF($Y12=1,IF($K12="TTC",$Z12/(1+$V12),$Z12),"")</f>
        <v/>
      </c>
      <c r="AB12" s="28" t="str">
        <f aca="false">IF($Y12=1,IF($K12="TTC",$Z12-$AA12,$AA12*$V12),"")</f>
        <v/>
      </c>
      <c r="AC12" s="27" t="str">
        <f aca="false">IF($Y12=1,$AA12*$U12*$M12,"")</f>
        <v/>
      </c>
      <c r="AD12" s="26" t="str">
        <f aca="false">IF($Y12=1,$AC12/SUMIFS($AC$6:$AC$205,$C$6:$C$205,$C12,$Y$6:$Y$205,1),"")</f>
        <v/>
      </c>
      <c r="AE12" s="28" t="str">
        <f aca="false">IF($Y12=1,(INDEX(Fournisseurs!$J$5:$J$24,MATCH($C12,Fournisseurs!$A$5:$A$24,0))+INDEX(Fournisseurs!$K$5:$K$24,MATCH($C12,Fournisseurs!$A$5:$A$24,0)))*$U12*$AD12/($I12*$M12),"")</f>
        <v/>
      </c>
      <c r="AF12" s="28" t="str">
        <f aca="false">IF($Y12=1,INDEX(Fournisseurs!$L$5:$L$24,MATCH($C12,Fournisseurs!$A$5:$A$24,0))*$AD12/($I12*$M12),"")</f>
        <v/>
      </c>
      <c r="AG12" s="28" t="str">
        <f aca="false">IF($Y12=1,$AA12*$U12/$I12,"")</f>
        <v/>
      </c>
      <c r="AH12" s="28" t="str">
        <f aca="false">IF($Y12=1,$AB12*$U12/$I12,"")</f>
        <v/>
      </c>
      <c r="AI12" s="18" t="str">
        <f aca="false">IF($Y12=1,IF(AND(Paramètres!$B$4="EFFECTIVE",$W12="CH",$AB12&gt;0),1,0),"")</f>
        <v/>
      </c>
      <c r="AJ12" s="28" t="str">
        <f aca="false">IF($Y12=1,IF($X12&lt;&gt;"CH",($AG12+$AE12+$AF12)*Paramètres!$B$14,0),"")</f>
        <v/>
      </c>
      <c r="AK12" s="29" t="str">
        <f aca="false">IF($Y12=1,$AG12+IF($AI12=1,0,$AH12)+$AE12+$AF12+IF(Paramètres!$B$4="NOT_REGISTERED",$AJ12,0),"")</f>
        <v/>
      </c>
      <c r="AL12" s="27" t="str">
        <f aca="false">IF($Y12=1,($AK12+Paramètres!$B$7+Paramètres!$B$8+Paramètres!$B$9+Paramètres!$B$10)/((1-Paramètres!$B$11)/(1+Paramètres!$B$5)-Paramètres!$B$6),"")</f>
        <v/>
      </c>
      <c r="AM12" s="26" t="str">
        <f aca="false">IF(AND($Y12=1,ISNUMBER($R12)),IF($R12&gt;0,$AL12/$R12-1,""),"")</f>
        <v/>
      </c>
      <c r="AN12" s="27" t="str">
        <f aca="false">IF(AND($Y12=1,ISNUMBER($R12)),IF($R12&gt;0,$R12/(1+Paramètres!$B$5)-$AK12-($R12*Paramètres!$B$6+Paramètres!$B$7)-Paramètres!$B$8-Paramètres!$B$9-Paramètres!$B$10,""),"")</f>
        <v/>
      </c>
      <c r="AO12" s="26" t="str">
        <f aca="false">IF(ISNUMBER($AN12),$AN12/($R12/(1+Paramètres!$B$5)),"")</f>
        <v/>
      </c>
      <c r="AP12" s="30" t="str">
        <f aca="false">IF($A12="","",IF($Y12&lt;&gt;1,"INCOMPLET",IF(NOT(ISNUMBER($AM12)),"SANS RÉF. MARCHÉ",IF($AM12&lt;=Paramètres!$B$12,"OK",IF(AND($AO12&gt;=Paramètres!$B$15,$AN12&gt;=Paramètres!$B$16),"À REVOIR","NON RENTABLE")))))</f>
        <v>INCOMPLET</v>
      </c>
      <c r="AQ12" s="18" t="str">
        <f aca="false">TRIM(IF(AND($Y12=1,ISNUMBER($N12)),IF($M12&lt;$N12,"MOQ ",""),"")&amp;IF(AND($Y12=1,ISNUMBER($O12)),IF($O12&lt;$I12*$M12,"DISPO ",""),"")&amp;IF($S12="O","FICTIF ","")&amp;IF($Y12=1,IF(AND($K12="TTC",$W12&lt;&gt;"CH"),"TVA-ÉTRANGÈRE ",""),""))</f>
        <v/>
      </c>
      <c r="AR12" s="18" t="str">
        <f aca="false">IF($Y12=1,COUNTIFS($A$6:$A$205,$A12,$AK$6:$AK$205,"&lt;"&amp;$AK12,$Y$6:$Y$205,1)+1,"")</f>
        <v/>
      </c>
      <c r="AS12" s="18" t="str">
        <f aca="false">IF(ISNUMBER($AR12),$A12&amp;"|"&amp;$AR12,"")</f>
        <v/>
      </c>
      <c r="AT12" s="27" t="str">
        <f aca="false">IF($Y12=1,$AK12*$I12*$M12,"")</f>
        <v/>
      </c>
    </row>
    <row r="13" customFormat="false" ht="15" hidden="false" customHeight="false" outlineLevel="0" collapsed="false">
      <c r="A13" s="9" t="s">
        <v>167</v>
      </c>
      <c r="B13" s="9" t="s">
        <v>168</v>
      </c>
      <c r="C13" s="9" t="s">
        <v>76</v>
      </c>
      <c r="D13" s="9"/>
      <c r="E13" s="9"/>
      <c r="F13" s="9"/>
      <c r="G13" s="9" t="s">
        <v>161</v>
      </c>
      <c r="H13" s="9" t="s">
        <v>169</v>
      </c>
      <c r="I13" s="9"/>
      <c r="J13" s="13"/>
      <c r="K13" s="9"/>
      <c r="L13" s="12"/>
      <c r="M13" s="9"/>
      <c r="N13" s="9"/>
      <c r="O13" s="9"/>
      <c r="P13" s="9"/>
      <c r="Q13" s="16"/>
      <c r="R13" s="13"/>
      <c r="S13" s="9" t="s">
        <v>78</v>
      </c>
      <c r="T13" s="18" t="n">
        <f aca="false">IF($C13="","",IFERROR(INDEX(Fournisseurs!$C$5:$C$24,MATCH($C13,Fournisseurs!$A$5:$A$24,0)),""))</f>
        <v>0</v>
      </c>
      <c r="U13" s="25" t="n">
        <f aca="false">IF($C13="","",IFERROR(INDEX(Fournisseurs!$D$5:$D$24,MATCH($C13,Fournisseurs!$A$5:$A$24,0)),""))</f>
        <v>0</v>
      </c>
      <c r="V13" s="26" t="n">
        <f aca="false">IF($C13="","",IFERROR(INDEX(Fournisseurs!$G$5:$G$24,MATCH($C13,Fournisseurs!$A$5:$A$24,0)),""))</f>
        <v>0</v>
      </c>
      <c r="W13" s="18" t="n">
        <f aca="false">IF($C13="","",IFERROR(INDEX(Fournisseurs!$H$5:$H$24,MATCH($C13,Fournisseurs!$A$5:$A$24,0)),""))</f>
        <v>0</v>
      </c>
      <c r="X13" s="18" t="n">
        <f aca="false">IF($C13="","",IFERROR(INDEX(Fournisseurs!$B$5:$B$24,MATCH($C13,Fournisseurs!$A$5:$A$24,0)),""))</f>
        <v>0</v>
      </c>
      <c r="Y13" s="18" t="n">
        <f aca="false">IF($A13="","",IF(AND($A13&lt;&gt;"",$C13&lt;&gt;"",ISNUMBER($I13),ISNUMBER($J13),ISNUMBER($M13)),IF(AND($I13&gt;=1,$J13&gt;0,OR($K13="HT",$K13="TTC"),$M13&gt;=1,IFERROR(INDEX(Fournisseurs!$T$5:$T$24,MATCH($C13,Fournisseurs!$A$5:$A$24,0)),0)=1),1,0),0))</f>
        <v>0</v>
      </c>
      <c r="Z13" s="27" t="str">
        <f aca="false">IF($Y13=1,$J13*(1-N($L13)),"")</f>
        <v/>
      </c>
      <c r="AA13" s="28" t="str">
        <f aca="false">IF($Y13=1,IF($K13="TTC",$Z13/(1+$V13),$Z13),"")</f>
        <v/>
      </c>
      <c r="AB13" s="28" t="str">
        <f aca="false">IF($Y13=1,IF($K13="TTC",$Z13-$AA13,$AA13*$V13),"")</f>
        <v/>
      </c>
      <c r="AC13" s="27" t="str">
        <f aca="false">IF($Y13=1,$AA13*$U13*$M13,"")</f>
        <v/>
      </c>
      <c r="AD13" s="26" t="str">
        <f aca="false">IF($Y13=1,$AC13/SUMIFS($AC$6:$AC$205,$C$6:$C$205,$C13,$Y$6:$Y$205,1),"")</f>
        <v/>
      </c>
      <c r="AE13" s="28" t="str">
        <f aca="false">IF($Y13=1,(INDEX(Fournisseurs!$J$5:$J$24,MATCH($C13,Fournisseurs!$A$5:$A$24,0))+INDEX(Fournisseurs!$K$5:$K$24,MATCH($C13,Fournisseurs!$A$5:$A$24,0)))*$U13*$AD13/($I13*$M13),"")</f>
        <v/>
      </c>
      <c r="AF13" s="28" t="str">
        <f aca="false">IF($Y13=1,INDEX(Fournisseurs!$L$5:$L$24,MATCH($C13,Fournisseurs!$A$5:$A$24,0))*$AD13/($I13*$M13),"")</f>
        <v/>
      </c>
      <c r="AG13" s="28" t="str">
        <f aca="false">IF($Y13=1,$AA13*$U13/$I13,"")</f>
        <v/>
      </c>
      <c r="AH13" s="28" t="str">
        <f aca="false">IF($Y13=1,$AB13*$U13/$I13,"")</f>
        <v/>
      </c>
      <c r="AI13" s="18" t="str">
        <f aca="false">IF($Y13=1,IF(AND(Paramètres!$B$4="EFFECTIVE",$W13="CH",$AB13&gt;0),1,0),"")</f>
        <v/>
      </c>
      <c r="AJ13" s="28" t="str">
        <f aca="false">IF($Y13=1,IF($X13&lt;&gt;"CH",($AG13+$AE13+$AF13)*Paramètres!$B$14,0),"")</f>
        <v/>
      </c>
      <c r="AK13" s="29" t="str">
        <f aca="false">IF($Y13=1,$AG13+IF($AI13=1,0,$AH13)+$AE13+$AF13+IF(Paramètres!$B$4="NOT_REGISTERED",$AJ13,0),"")</f>
        <v/>
      </c>
      <c r="AL13" s="27" t="str">
        <f aca="false">IF($Y13=1,($AK13+Paramètres!$B$7+Paramètres!$B$8+Paramètres!$B$9+Paramètres!$B$10)/((1-Paramètres!$B$11)/(1+Paramètres!$B$5)-Paramètres!$B$6),"")</f>
        <v/>
      </c>
      <c r="AM13" s="26" t="str">
        <f aca="false">IF(AND($Y13=1,ISNUMBER($R13)),IF($R13&gt;0,$AL13/$R13-1,""),"")</f>
        <v/>
      </c>
      <c r="AN13" s="27" t="str">
        <f aca="false">IF(AND($Y13=1,ISNUMBER($R13)),IF($R13&gt;0,$R13/(1+Paramètres!$B$5)-$AK13-($R13*Paramètres!$B$6+Paramètres!$B$7)-Paramètres!$B$8-Paramètres!$B$9-Paramètres!$B$10,""),"")</f>
        <v/>
      </c>
      <c r="AO13" s="26" t="str">
        <f aca="false">IF(ISNUMBER($AN13),$AN13/($R13/(1+Paramètres!$B$5)),"")</f>
        <v/>
      </c>
      <c r="AP13" s="30" t="str">
        <f aca="false">IF($A13="","",IF($Y13&lt;&gt;1,"INCOMPLET",IF(NOT(ISNUMBER($AM13)),"SANS RÉF. MARCHÉ",IF($AM13&lt;=Paramètres!$B$12,"OK",IF(AND($AO13&gt;=Paramètres!$B$15,$AN13&gt;=Paramètres!$B$16),"À REVOIR","NON RENTABLE")))))</f>
        <v>INCOMPLET</v>
      </c>
      <c r="AQ13" s="18" t="str">
        <f aca="false">TRIM(IF(AND($Y13=1,ISNUMBER($N13)),IF($M13&lt;$N13,"MOQ ",""),"")&amp;IF(AND($Y13=1,ISNUMBER($O13)),IF($O13&lt;$I13*$M13,"DISPO ",""),"")&amp;IF($S13="O","FICTIF ","")&amp;IF($Y13=1,IF(AND($K13="TTC",$W13&lt;&gt;"CH"),"TVA-ÉTRANGÈRE ",""),""))</f>
        <v/>
      </c>
      <c r="AR13" s="18" t="str">
        <f aca="false">IF($Y13=1,COUNTIFS($A$6:$A$205,$A13,$AK$6:$AK$205,"&lt;"&amp;$AK13,$Y$6:$Y$205,1)+1,"")</f>
        <v/>
      </c>
      <c r="AS13" s="18" t="str">
        <f aca="false">IF(ISNUMBER($AR13),$A13&amp;"|"&amp;$AR13,"")</f>
        <v/>
      </c>
      <c r="AT13" s="27" t="str">
        <f aca="false">IF($Y13=1,$AK13*$I13*$M13,"")</f>
        <v/>
      </c>
    </row>
    <row r="14" customFormat="false" ht="15" hidden="false" customHeight="false" outlineLevel="0" collapsed="false">
      <c r="A14" s="9" t="s">
        <v>170</v>
      </c>
      <c r="B14" s="9" t="s">
        <v>171</v>
      </c>
      <c r="C14" s="9" t="s">
        <v>76</v>
      </c>
      <c r="D14" s="9"/>
      <c r="E14" s="9"/>
      <c r="F14" s="9"/>
      <c r="G14" s="9" t="s">
        <v>154</v>
      </c>
      <c r="H14" s="9" t="s">
        <v>172</v>
      </c>
      <c r="I14" s="9"/>
      <c r="J14" s="13"/>
      <c r="K14" s="9"/>
      <c r="L14" s="12"/>
      <c r="M14" s="9"/>
      <c r="N14" s="9"/>
      <c r="O14" s="9"/>
      <c r="P14" s="9"/>
      <c r="Q14" s="16"/>
      <c r="R14" s="13"/>
      <c r="S14" s="9" t="s">
        <v>78</v>
      </c>
      <c r="T14" s="18" t="n">
        <f aca="false">IF($C14="","",IFERROR(INDEX(Fournisseurs!$C$5:$C$24,MATCH($C14,Fournisseurs!$A$5:$A$24,0)),""))</f>
        <v>0</v>
      </c>
      <c r="U14" s="25" t="n">
        <f aca="false">IF($C14="","",IFERROR(INDEX(Fournisseurs!$D$5:$D$24,MATCH($C14,Fournisseurs!$A$5:$A$24,0)),""))</f>
        <v>0</v>
      </c>
      <c r="V14" s="26" t="n">
        <f aca="false">IF($C14="","",IFERROR(INDEX(Fournisseurs!$G$5:$G$24,MATCH($C14,Fournisseurs!$A$5:$A$24,0)),""))</f>
        <v>0</v>
      </c>
      <c r="W14" s="18" t="n">
        <f aca="false">IF($C14="","",IFERROR(INDEX(Fournisseurs!$H$5:$H$24,MATCH($C14,Fournisseurs!$A$5:$A$24,0)),""))</f>
        <v>0</v>
      </c>
      <c r="X14" s="18" t="n">
        <f aca="false">IF($C14="","",IFERROR(INDEX(Fournisseurs!$B$5:$B$24,MATCH($C14,Fournisseurs!$A$5:$A$24,0)),""))</f>
        <v>0</v>
      </c>
      <c r="Y14" s="18" t="n">
        <f aca="false">IF($A14="","",IF(AND($A14&lt;&gt;"",$C14&lt;&gt;"",ISNUMBER($I14),ISNUMBER($J14),ISNUMBER($M14)),IF(AND($I14&gt;=1,$J14&gt;0,OR($K14="HT",$K14="TTC"),$M14&gt;=1,IFERROR(INDEX(Fournisseurs!$T$5:$T$24,MATCH($C14,Fournisseurs!$A$5:$A$24,0)),0)=1),1,0),0))</f>
        <v>0</v>
      </c>
      <c r="Z14" s="27" t="str">
        <f aca="false">IF($Y14=1,$J14*(1-N($L14)),"")</f>
        <v/>
      </c>
      <c r="AA14" s="28" t="str">
        <f aca="false">IF($Y14=1,IF($K14="TTC",$Z14/(1+$V14),$Z14),"")</f>
        <v/>
      </c>
      <c r="AB14" s="28" t="str">
        <f aca="false">IF($Y14=1,IF($K14="TTC",$Z14-$AA14,$AA14*$V14),"")</f>
        <v/>
      </c>
      <c r="AC14" s="27" t="str">
        <f aca="false">IF($Y14=1,$AA14*$U14*$M14,"")</f>
        <v/>
      </c>
      <c r="AD14" s="26" t="str">
        <f aca="false">IF($Y14=1,$AC14/SUMIFS($AC$6:$AC$205,$C$6:$C$205,$C14,$Y$6:$Y$205,1),"")</f>
        <v/>
      </c>
      <c r="AE14" s="28" t="str">
        <f aca="false">IF($Y14=1,(INDEX(Fournisseurs!$J$5:$J$24,MATCH($C14,Fournisseurs!$A$5:$A$24,0))+INDEX(Fournisseurs!$K$5:$K$24,MATCH($C14,Fournisseurs!$A$5:$A$24,0)))*$U14*$AD14/($I14*$M14),"")</f>
        <v/>
      </c>
      <c r="AF14" s="28" t="str">
        <f aca="false">IF($Y14=1,INDEX(Fournisseurs!$L$5:$L$24,MATCH($C14,Fournisseurs!$A$5:$A$24,0))*$AD14/($I14*$M14),"")</f>
        <v/>
      </c>
      <c r="AG14" s="28" t="str">
        <f aca="false">IF($Y14=1,$AA14*$U14/$I14,"")</f>
        <v/>
      </c>
      <c r="AH14" s="28" t="str">
        <f aca="false">IF($Y14=1,$AB14*$U14/$I14,"")</f>
        <v/>
      </c>
      <c r="AI14" s="18" t="str">
        <f aca="false">IF($Y14=1,IF(AND(Paramètres!$B$4="EFFECTIVE",$W14="CH",$AB14&gt;0),1,0),"")</f>
        <v/>
      </c>
      <c r="AJ14" s="28" t="str">
        <f aca="false">IF($Y14=1,IF($X14&lt;&gt;"CH",($AG14+$AE14+$AF14)*Paramètres!$B$14,0),"")</f>
        <v/>
      </c>
      <c r="AK14" s="29" t="str">
        <f aca="false">IF($Y14=1,$AG14+IF($AI14=1,0,$AH14)+$AE14+$AF14+IF(Paramètres!$B$4="NOT_REGISTERED",$AJ14,0),"")</f>
        <v/>
      </c>
      <c r="AL14" s="27" t="str">
        <f aca="false">IF($Y14=1,($AK14+Paramètres!$B$7+Paramètres!$B$8+Paramètres!$B$9+Paramètres!$B$10)/((1-Paramètres!$B$11)/(1+Paramètres!$B$5)-Paramètres!$B$6),"")</f>
        <v/>
      </c>
      <c r="AM14" s="26" t="str">
        <f aca="false">IF(AND($Y14=1,ISNUMBER($R14)),IF($R14&gt;0,$AL14/$R14-1,""),"")</f>
        <v/>
      </c>
      <c r="AN14" s="27" t="str">
        <f aca="false">IF(AND($Y14=1,ISNUMBER($R14)),IF($R14&gt;0,$R14/(1+Paramètres!$B$5)-$AK14-($R14*Paramètres!$B$6+Paramètres!$B$7)-Paramètres!$B$8-Paramètres!$B$9-Paramètres!$B$10,""),"")</f>
        <v/>
      </c>
      <c r="AO14" s="26" t="str">
        <f aca="false">IF(ISNUMBER($AN14),$AN14/($R14/(1+Paramètres!$B$5)),"")</f>
        <v/>
      </c>
      <c r="AP14" s="30" t="str">
        <f aca="false">IF($A14="","",IF($Y14&lt;&gt;1,"INCOMPLET",IF(NOT(ISNUMBER($AM14)),"SANS RÉF. MARCHÉ",IF($AM14&lt;=Paramètres!$B$12,"OK",IF(AND($AO14&gt;=Paramètres!$B$15,$AN14&gt;=Paramètres!$B$16),"À REVOIR","NON RENTABLE")))))</f>
        <v>INCOMPLET</v>
      </c>
      <c r="AQ14" s="18" t="str">
        <f aca="false">TRIM(IF(AND($Y14=1,ISNUMBER($N14)),IF($M14&lt;$N14,"MOQ ",""),"")&amp;IF(AND($Y14=1,ISNUMBER($O14)),IF($O14&lt;$I14*$M14,"DISPO ",""),"")&amp;IF($S14="O","FICTIF ","")&amp;IF($Y14=1,IF(AND($K14="TTC",$W14&lt;&gt;"CH"),"TVA-ÉTRANGÈRE ",""),""))</f>
        <v/>
      </c>
      <c r="AR14" s="18" t="str">
        <f aca="false">IF($Y14=1,COUNTIFS($A$6:$A$205,$A14,$AK$6:$AK$205,"&lt;"&amp;$AK14,$Y$6:$Y$205,1)+1,"")</f>
        <v/>
      </c>
      <c r="AS14" s="18" t="str">
        <f aca="false">IF(ISNUMBER($AR14),$A14&amp;"|"&amp;$AR14,"")</f>
        <v/>
      </c>
      <c r="AT14" s="27" t="str">
        <f aca="false">IF($Y14=1,$AK14*$I14*$M14,"")</f>
        <v/>
      </c>
    </row>
    <row r="15" customFormat="false" ht="15" hidden="false" customHeight="false" outlineLevel="0" collapsed="false">
      <c r="A15" s="9" t="s">
        <v>173</v>
      </c>
      <c r="B15" s="9" t="s">
        <v>174</v>
      </c>
      <c r="C15" s="9" t="s">
        <v>76</v>
      </c>
      <c r="D15" s="9"/>
      <c r="E15" s="9"/>
      <c r="F15" s="9"/>
      <c r="G15" s="9" t="s">
        <v>158</v>
      </c>
      <c r="H15" s="9" t="s">
        <v>172</v>
      </c>
      <c r="I15" s="9"/>
      <c r="J15" s="13"/>
      <c r="K15" s="9"/>
      <c r="L15" s="12"/>
      <c r="M15" s="9"/>
      <c r="N15" s="9"/>
      <c r="O15" s="9"/>
      <c r="P15" s="9"/>
      <c r="Q15" s="16"/>
      <c r="R15" s="13"/>
      <c r="S15" s="9" t="s">
        <v>78</v>
      </c>
      <c r="T15" s="18" t="n">
        <f aca="false">IF($C15="","",IFERROR(INDEX(Fournisseurs!$C$5:$C$24,MATCH($C15,Fournisseurs!$A$5:$A$24,0)),""))</f>
        <v>0</v>
      </c>
      <c r="U15" s="25" t="n">
        <f aca="false">IF($C15="","",IFERROR(INDEX(Fournisseurs!$D$5:$D$24,MATCH($C15,Fournisseurs!$A$5:$A$24,0)),""))</f>
        <v>0</v>
      </c>
      <c r="V15" s="26" t="n">
        <f aca="false">IF($C15="","",IFERROR(INDEX(Fournisseurs!$G$5:$G$24,MATCH($C15,Fournisseurs!$A$5:$A$24,0)),""))</f>
        <v>0</v>
      </c>
      <c r="W15" s="18" t="n">
        <f aca="false">IF($C15="","",IFERROR(INDEX(Fournisseurs!$H$5:$H$24,MATCH($C15,Fournisseurs!$A$5:$A$24,0)),""))</f>
        <v>0</v>
      </c>
      <c r="X15" s="18" t="n">
        <f aca="false">IF($C15="","",IFERROR(INDEX(Fournisseurs!$B$5:$B$24,MATCH($C15,Fournisseurs!$A$5:$A$24,0)),""))</f>
        <v>0</v>
      </c>
      <c r="Y15" s="18" t="n">
        <f aca="false">IF($A15="","",IF(AND($A15&lt;&gt;"",$C15&lt;&gt;"",ISNUMBER($I15),ISNUMBER($J15),ISNUMBER($M15)),IF(AND($I15&gt;=1,$J15&gt;0,OR($K15="HT",$K15="TTC"),$M15&gt;=1,IFERROR(INDEX(Fournisseurs!$T$5:$T$24,MATCH($C15,Fournisseurs!$A$5:$A$24,0)),0)=1),1,0),0))</f>
        <v>0</v>
      </c>
      <c r="Z15" s="27" t="str">
        <f aca="false">IF($Y15=1,$J15*(1-N($L15)),"")</f>
        <v/>
      </c>
      <c r="AA15" s="28" t="str">
        <f aca="false">IF($Y15=1,IF($K15="TTC",$Z15/(1+$V15),$Z15),"")</f>
        <v/>
      </c>
      <c r="AB15" s="28" t="str">
        <f aca="false">IF($Y15=1,IF($K15="TTC",$Z15-$AA15,$AA15*$V15),"")</f>
        <v/>
      </c>
      <c r="AC15" s="27" t="str">
        <f aca="false">IF($Y15=1,$AA15*$U15*$M15,"")</f>
        <v/>
      </c>
      <c r="AD15" s="26" t="str">
        <f aca="false">IF($Y15=1,$AC15/SUMIFS($AC$6:$AC$205,$C$6:$C$205,$C15,$Y$6:$Y$205,1),"")</f>
        <v/>
      </c>
      <c r="AE15" s="28" t="str">
        <f aca="false">IF($Y15=1,(INDEX(Fournisseurs!$J$5:$J$24,MATCH($C15,Fournisseurs!$A$5:$A$24,0))+INDEX(Fournisseurs!$K$5:$K$24,MATCH($C15,Fournisseurs!$A$5:$A$24,0)))*$U15*$AD15/($I15*$M15),"")</f>
        <v/>
      </c>
      <c r="AF15" s="28" t="str">
        <f aca="false">IF($Y15=1,INDEX(Fournisseurs!$L$5:$L$24,MATCH($C15,Fournisseurs!$A$5:$A$24,0))*$AD15/($I15*$M15),"")</f>
        <v/>
      </c>
      <c r="AG15" s="28" t="str">
        <f aca="false">IF($Y15=1,$AA15*$U15/$I15,"")</f>
        <v/>
      </c>
      <c r="AH15" s="28" t="str">
        <f aca="false">IF($Y15=1,$AB15*$U15/$I15,"")</f>
        <v/>
      </c>
      <c r="AI15" s="18" t="str">
        <f aca="false">IF($Y15=1,IF(AND(Paramètres!$B$4="EFFECTIVE",$W15="CH",$AB15&gt;0),1,0),"")</f>
        <v/>
      </c>
      <c r="AJ15" s="28" t="str">
        <f aca="false">IF($Y15=1,IF($X15&lt;&gt;"CH",($AG15+$AE15+$AF15)*Paramètres!$B$14,0),"")</f>
        <v/>
      </c>
      <c r="AK15" s="29" t="str">
        <f aca="false">IF($Y15=1,$AG15+IF($AI15=1,0,$AH15)+$AE15+$AF15+IF(Paramètres!$B$4="NOT_REGISTERED",$AJ15,0),"")</f>
        <v/>
      </c>
      <c r="AL15" s="27" t="str">
        <f aca="false">IF($Y15=1,($AK15+Paramètres!$B$7+Paramètres!$B$8+Paramètres!$B$9+Paramètres!$B$10)/((1-Paramètres!$B$11)/(1+Paramètres!$B$5)-Paramètres!$B$6),"")</f>
        <v/>
      </c>
      <c r="AM15" s="26" t="str">
        <f aca="false">IF(AND($Y15=1,ISNUMBER($R15)),IF($R15&gt;0,$AL15/$R15-1,""),"")</f>
        <v/>
      </c>
      <c r="AN15" s="27" t="str">
        <f aca="false">IF(AND($Y15=1,ISNUMBER($R15)),IF($R15&gt;0,$R15/(1+Paramètres!$B$5)-$AK15-($R15*Paramètres!$B$6+Paramètres!$B$7)-Paramètres!$B$8-Paramètres!$B$9-Paramètres!$B$10,""),"")</f>
        <v/>
      </c>
      <c r="AO15" s="26" t="str">
        <f aca="false">IF(ISNUMBER($AN15),$AN15/($R15/(1+Paramètres!$B$5)),"")</f>
        <v/>
      </c>
      <c r="AP15" s="30" t="str">
        <f aca="false">IF($A15="","",IF($Y15&lt;&gt;1,"INCOMPLET",IF(NOT(ISNUMBER($AM15)),"SANS RÉF. MARCHÉ",IF($AM15&lt;=Paramètres!$B$12,"OK",IF(AND($AO15&gt;=Paramètres!$B$15,$AN15&gt;=Paramètres!$B$16),"À REVOIR","NON RENTABLE")))))</f>
        <v>INCOMPLET</v>
      </c>
      <c r="AQ15" s="18" t="str">
        <f aca="false">TRIM(IF(AND($Y15=1,ISNUMBER($N15)),IF($M15&lt;$N15,"MOQ ",""),"")&amp;IF(AND($Y15=1,ISNUMBER($O15)),IF($O15&lt;$I15*$M15,"DISPO ",""),"")&amp;IF($S15="O","FICTIF ","")&amp;IF($Y15=1,IF(AND($K15="TTC",$W15&lt;&gt;"CH"),"TVA-ÉTRANGÈRE ",""),""))</f>
        <v/>
      </c>
      <c r="AR15" s="18" t="str">
        <f aca="false">IF($Y15=1,COUNTIFS($A$6:$A$205,$A15,$AK$6:$AK$205,"&lt;"&amp;$AK15,$Y$6:$Y$205,1)+1,"")</f>
        <v/>
      </c>
      <c r="AS15" s="18" t="str">
        <f aca="false">IF(ISNUMBER($AR15),$A15&amp;"|"&amp;$AR15,"")</f>
        <v/>
      </c>
      <c r="AT15" s="27" t="str">
        <f aca="false">IF($Y15=1,$AK15*$I15*$M15,"")</f>
        <v/>
      </c>
    </row>
    <row r="16" customFormat="false" ht="15" hidden="false" customHeight="false" outlineLevel="0" collapsed="false">
      <c r="A16" s="9" t="s">
        <v>175</v>
      </c>
      <c r="B16" s="9" t="s">
        <v>176</v>
      </c>
      <c r="C16" s="9" t="s">
        <v>76</v>
      </c>
      <c r="D16" s="9"/>
      <c r="E16" s="9"/>
      <c r="F16" s="9"/>
      <c r="G16" s="9" t="s">
        <v>161</v>
      </c>
      <c r="H16" s="9" t="s">
        <v>177</v>
      </c>
      <c r="I16" s="9"/>
      <c r="J16" s="13"/>
      <c r="K16" s="9"/>
      <c r="L16" s="12"/>
      <c r="M16" s="9"/>
      <c r="N16" s="9"/>
      <c r="O16" s="9"/>
      <c r="P16" s="9"/>
      <c r="Q16" s="16"/>
      <c r="R16" s="13"/>
      <c r="S16" s="9" t="s">
        <v>78</v>
      </c>
      <c r="T16" s="18" t="n">
        <f aca="false">IF($C16="","",IFERROR(INDEX(Fournisseurs!$C$5:$C$24,MATCH($C16,Fournisseurs!$A$5:$A$24,0)),""))</f>
        <v>0</v>
      </c>
      <c r="U16" s="25" t="n">
        <f aca="false">IF($C16="","",IFERROR(INDEX(Fournisseurs!$D$5:$D$24,MATCH($C16,Fournisseurs!$A$5:$A$24,0)),""))</f>
        <v>0</v>
      </c>
      <c r="V16" s="26" t="n">
        <f aca="false">IF($C16="","",IFERROR(INDEX(Fournisseurs!$G$5:$G$24,MATCH($C16,Fournisseurs!$A$5:$A$24,0)),""))</f>
        <v>0</v>
      </c>
      <c r="W16" s="18" t="n">
        <f aca="false">IF($C16="","",IFERROR(INDEX(Fournisseurs!$H$5:$H$24,MATCH($C16,Fournisseurs!$A$5:$A$24,0)),""))</f>
        <v>0</v>
      </c>
      <c r="X16" s="18" t="n">
        <f aca="false">IF($C16="","",IFERROR(INDEX(Fournisseurs!$B$5:$B$24,MATCH($C16,Fournisseurs!$A$5:$A$24,0)),""))</f>
        <v>0</v>
      </c>
      <c r="Y16" s="18" t="n">
        <f aca="false">IF($A16="","",IF(AND($A16&lt;&gt;"",$C16&lt;&gt;"",ISNUMBER($I16),ISNUMBER($J16),ISNUMBER($M16)),IF(AND($I16&gt;=1,$J16&gt;0,OR($K16="HT",$K16="TTC"),$M16&gt;=1,IFERROR(INDEX(Fournisseurs!$T$5:$T$24,MATCH($C16,Fournisseurs!$A$5:$A$24,0)),0)=1),1,0),0))</f>
        <v>0</v>
      </c>
      <c r="Z16" s="27" t="str">
        <f aca="false">IF($Y16=1,$J16*(1-N($L16)),"")</f>
        <v/>
      </c>
      <c r="AA16" s="28" t="str">
        <f aca="false">IF($Y16=1,IF($K16="TTC",$Z16/(1+$V16),$Z16),"")</f>
        <v/>
      </c>
      <c r="AB16" s="28" t="str">
        <f aca="false">IF($Y16=1,IF($K16="TTC",$Z16-$AA16,$AA16*$V16),"")</f>
        <v/>
      </c>
      <c r="AC16" s="27" t="str">
        <f aca="false">IF($Y16=1,$AA16*$U16*$M16,"")</f>
        <v/>
      </c>
      <c r="AD16" s="26" t="str">
        <f aca="false">IF($Y16=1,$AC16/SUMIFS($AC$6:$AC$205,$C$6:$C$205,$C16,$Y$6:$Y$205,1),"")</f>
        <v/>
      </c>
      <c r="AE16" s="28" t="str">
        <f aca="false">IF($Y16=1,(INDEX(Fournisseurs!$J$5:$J$24,MATCH($C16,Fournisseurs!$A$5:$A$24,0))+INDEX(Fournisseurs!$K$5:$K$24,MATCH($C16,Fournisseurs!$A$5:$A$24,0)))*$U16*$AD16/($I16*$M16),"")</f>
        <v/>
      </c>
      <c r="AF16" s="28" t="str">
        <f aca="false">IF($Y16=1,INDEX(Fournisseurs!$L$5:$L$24,MATCH($C16,Fournisseurs!$A$5:$A$24,0))*$AD16/($I16*$M16),"")</f>
        <v/>
      </c>
      <c r="AG16" s="28" t="str">
        <f aca="false">IF($Y16=1,$AA16*$U16/$I16,"")</f>
        <v/>
      </c>
      <c r="AH16" s="28" t="str">
        <f aca="false">IF($Y16=1,$AB16*$U16/$I16,"")</f>
        <v/>
      </c>
      <c r="AI16" s="18" t="str">
        <f aca="false">IF($Y16=1,IF(AND(Paramètres!$B$4="EFFECTIVE",$W16="CH",$AB16&gt;0),1,0),"")</f>
        <v/>
      </c>
      <c r="AJ16" s="28" t="str">
        <f aca="false">IF($Y16=1,IF($X16&lt;&gt;"CH",($AG16+$AE16+$AF16)*Paramètres!$B$14,0),"")</f>
        <v/>
      </c>
      <c r="AK16" s="29" t="str">
        <f aca="false">IF($Y16=1,$AG16+IF($AI16=1,0,$AH16)+$AE16+$AF16+IF(Paramètres!$B$4="NOT_REGISTERED",$AJ16,0),"")</f>
        <v/>
      </c>
      <c r="AL16" s="27" t="str">
        <f aca="false">IF($Y16=1,($AK16+Paramètres!$B$7+Paramètres!$B$8+Paramètres!$B$9+Paramètres!$B$10)/((1-Paramètres!$B$11)/(1+Paramètres!$B$5)-Paramètres!$B$6),"")</f>
        <v/>
      </c>
      <c r="AM16" s="26" t="str">
        <f aca="false">IF(AND($Y16=1,ISNUMBER($R16)),IF($R16&gt;0,$AL16/$R16-1,""),"")</f>
        <v/>
      </c>
      <c r="AN16" s="27" t="str">
        <f aca="false">IF(AND($Y16=1,ISNUMBER($R16)),IF($R16&gt;0,$R16/(1+Paramètres!$B$5)-$AK16-($R16*Paramètres!$B$6+Paramètres!$B$7)-Paramètres!$B$8-Paramètres!$B$9-Paramètres!$B$10,""),"")</f>
        <v/>
      </c>
      <c r="AO16" s="26" t="str">
        <f aca="false">IF(ISNUMBER($AN16),$AN16/($R16/(1+Paramètres!$B$5)),"")</f>
        <v/>
      </c>
      <c r="AP16" s="30" t="str">
        <f aca="false">IF($A16="","",IF($Y16&lt;&gt;1,"INCOMPLET",IF(NOT(ISNUMBER($AM16)),"SANS RÉF. MARCHÉ",IF($AM16&lt;=Paramètres!$B$12,"OK",IF(AND($AO16&gt;=Paramètres!$B$15,$AN16&gt;=Paramètres!$B$16),"À REVOIR","NON RENTABLE")))))</f>
        <v>INCOMPLET</v>
      </c>
      <c r="AQ16" s="18" t="str">
        <f aca="false">TRIM(IF(AND($Y16=1,ISNUMBER($N16)),IF($M16&lt;$N16,"MOQ ",""),"")&amp;IF(AND($Y16=1,ISNUMBER($O16)),IF($O16&lt;$I16*$M16,"DISPO ",""),"")&amp;IF($S16="O","FICTIF ","")&amp;IF($Y16=1,IF(AND($K16="TTC",$W16&lt;&gt;"CH"),"TVA-ÉTRANGÈRE ",""),""))</f>
        <v/>
      </c>
      <c r="AR16" s="18" t="str">
        <f aca="false">IF($Y16=1,COUNTIFS($A$6:$A$205,$A16,$AK$6:$AK$205,"&lt;"&amp;$AK16,$Y$6:$Y$205,1)+1,"")</f>
        <v/>
      </c>
      <c r="AS16" s="18" t="str">
        <f aca="false">IF(ISNUMBER($AR16),$A16&amp;"|"&amp;$AR16,"")</f>
        <v/>
      </c>
      <c r="AT16" s="27" t="str">
        <f aca="false">IF($Y16=1,$AK16*$I16*$M16,"")</f>
        <v/>
      </c>
    </row>
    <row r="17" customFormat="false" ht="15" hidden="false" customHeight="false" outlineLevel="0" collapsed="false">
      <c r="A17" s="9" t="s">
        <v>178</v>
      </c>
      <c r="B17" s="9" t="s">
        <v>179</v>
      </c>
      <c r="C17" s="9" t="s">
        <v>76</v>
      </c>
      <c r="D17" s="9"/>
      <c r="E17" s="9"/>
      <c r="F17" s="9"/>
      <c r="G17" s="9" t="s">
        <v>180</v>
      </c>
      <c r="H17" s="9" t="s">
        <v>177</v>
      </c>
      <c r="I17" s="9"/>
      <c r="J17" s="13"/>
      <c r="K17" s="9"/>
      <c r="L17" s="12"/>
      <c r="M17" s="9"/>
      <c r="N17" s="9"/>
      <c r="O17" s="9"/>
      <c r="P17" s="9"/>
      <c r="Q17" s="16"/>
      <c r="R17" s="13"/>
      <c r="S17" s="9" t="s">
        <v>78</v>
      </c>
      <c r="T17" s="18" t="n">
        <f aca="false">IF($C17="","",IFERROR(INDEX(Fournisseurs!$C$5:$C$24,MATCH($C17,Fournisseurs!$A$5:$A$24,0)),""))</f>
        <v>0</v>
      </c>
      <c r="U17" s="25" t="n">
        <f aca="false">IF($C17="","",IFERROR(INDEX(Fournisseurs!$D$5:$D$24,MATCH($C17,Fournisseurs!$A$5:$A$24,0)),""))</f>
        <v>0</v>
      </c>
      <c r="V17" s="26" t="n">
        <f aca="false">IF($C17="","",IFERROR(INDEX(Fournisseurs!$G$5:$G$24,MATCH($C17,Fournisseurs!$A$5:$A$24,0)),""))</f>
        <v>0</v>
      </c>
      <c r="W17" s="18" t="n">
        <f aca="false">IF($C17="","",IFERROR(INDEX(Fournisseurs!$H$5:$H$24,MATCH($C17,Fournisseurs!$A$5:$A$24,0)),""))</f>
        <v>0</v>
      </c>
      <c r="X17" s="18" t="n">
        <f aca="false">IF($C17="","",IFERROR(INDEX(Fournisseurs!$B$5:$B$24,MATCH($C17,Fournisseurs!$A$5:$A$24,0)),""))</f>
        <v>0</v>
      </c>
      <c r="Y17" s="18" t="n">
        <f aca="false">IF($A17="","",IF(AND($A17&lt;&gt;"",$C17&lt;&gt;"",ISNUMBER($I17),ISNUMBER($J17),ISNUMBER($M17)),IF(AND($I17&gt;=1,$J17&gt;0,OR($K17="HT",$K17="TTC"),$M17&gt;=1,IFERROR(INDEX(Fournisseurs!$T$5:$T$24,MATCH($C17,Fournisseurs!$A$5:$A$24,0)),0)=1),1,0),0))</f>
        <v>0</v>
      </c>
      <c r="Z17" s="27" t="str">
        <f aca="false">IF($Y17=1,$J17*(1-N($L17)),"")</f>
        <v/>
      </c>
      <c r="AA17" s="28" t="str">
        <f aca="false">IF($Y17=1,IF($K17="TTC",$Z17/(1+$V17),$Z17),"")</f>
        <v/>
      </c>
      <c r="AB17" s="28" t="str">
        <f aca="false">IF($Y17=1,IF($K17="TTC",$Z17-$AA17,$AA17*$V17),"")</f>
        <v/>
      </c>
      <c r="AC17" s="27" t="str">
        <f aca="false">IF($Y17=1,$AA17*$U17*$M17,"")</f>
        <v/>
      </c>
      <c r="AD17" s="26" t="str">
        <f aca="false">IF($Y17=1,$AC17/SUMIFS($AC$6:$AC$205,$C$6:$C$205,$C17,$Y$6:$Y$205,1),"")</f>
        <v/>
      </c>
      <c r="AE17" s="28" t="str">
        <f aca="false">IF($Y17=1,(INDEX(Fournisseurs!$J$5:$J$24,MATCH($C17,Fournisseurs!$A$5:$A$24,0))+INDEX(Fournisseurs!$K$5:$K$24,MATCH($C17,Fournisseurs!$A$5:$A$24,0)))*$U17*$AD17/($I17*$M17),"")</f>
        <v/>
      </c>
      <c r="AF17" s="28" t="str">
        <f aca="false">IF($Y17=1,INDEX(Fournisseurs!$L$5:$L$24,MATCH($C17,Fournisseurs!$A$5:$A$24,0))*$AD17/($I17*$M17),"")</f>
        <v/>
      </c>
      <c r="AG17" s="28" t="str">
        <f aca="false">IF($Y17=1,$AA17*$U17/$I17,"")</f>
        <v/>
      </c>
      <c r="AH17" s="28" t="str">
        <f aca="false">IF($Y17=1,$AB17*$U17/$I17,"")</f>
        <v/>
      </c>
      <c r="AI17" s="18" t="str">
        <f aca="false">IF($Y17=1,IF(AND(Paramètres!$B$4="EFFECTIVE",$W17="CH",$AB17&gt;0),1,0),"")</f>
        <v/>
      </c>
      <c r="AJ17" s="28" t="str">
        <f aca="false">IF($Y17=1,IF($X17&lt;&gt;"CH",($AG17+$AE17+$AF17)*Paramètres!$B$14,0),"")</f>
        <v/>
      </c>
      <c r="AK17" s="29" t="str">
        <f aca="false">IF($Y17=1,$AG17+IF($AI17=1,0,$AH17)+$AE17+$AF17+IF(Paramètres!$B$4="NOT_REGISTERED",$AJ17,0),"")</f>
        <v/>
      </c>
      <c r="AL17" s="27" t="str">
        <f aca="false">IF($Y17=1,($AK17+Paramètres!$B$7+Paramètres!$B$8+Paramètres!$B$9+Paramètres!$B$10)/((1-Paramètres!$B$11)/(1+Paramètres!$B$5)-Paramètres!$B$6),"")</f>
        <v/>
      </c>
      <c r="AM17" s="26" t="str">
        <f aca="false">IF(AND($Y17=1,ISNUMBER($R17)),IF($R17&gt;0,$AL17/$R17-1,""),"")</f>
        <v/>
      </c>
      <c r="AN17" s="27" t="str">
        <f aca="false">IF(AND($Y17=1,ISNUMBER($R17)),IF($R17&gt;0,$R17/(1+Paramètres!$B$5)-$AK17-($R17*Paramètres!$B$6+Paramètres!$B$7)-Paramètres!$B$8-Paramètres!$B$9-Paramètres!$B$10,""),"")</f>
        <v/>
      </c>
      <c r="AO17" s="26" t="str">
        <f aca="false">IF(ISNUMBER($AN17),$AN17/($R17/(1+Paramètres!$B$5)),"")</f>
        <v/>
      </c>
      <c r="AP17" s="30" t="str">
        <f aca="false">IF($A17="","",IF($Y17&lt;&gt;1,"INCOMPLET",IF(NOT(ISNUMBER($AM17)),"SANS RÉF. MARCHÉ",IF($AM17&lt;=Paramètres!$B$12,"OK",IF(AND($AO17&gt;=Paramètres!$B$15,$AN17&gt;=Paramètres!$B$16),"À REVOIR","NON RENTABLE")))))</f>
        <v>INCOMPLET</v>
      </c>
      <c r="AQ17" s="18" t="str">
        <f aca="false">TRIM(IF(AND($Y17=1,ISNUMBER($N17)),IF($M17&lt;$N17,"MOQ ",""),"")&amp;IF(AND($Y17=1,ISNUMBER($O17)),IF($O17&lt;$I17*$M17,"DISPO ",""),"")&amp;IF($S17="O","FICTIF ","")&amp;IF($Y17=1,IF(AND($K17="TTC",$W17&lt;&gt;"CH"),"TVA-ÉTRANGÈRE ",""),""))</f>
        <v/>
      </c>
      <c r="AR17" s="18" t="str">
        <f aca="false">IF($Y17=1,COUNTIFS($A$6:$A$205,$A17,$AK$6:$AK$205,"&lt;"&amp;$AK17,$Y$6:$Y$205,1)+1,"")</f>
        <v/>
      </c>
      <c r="AS17" s="18" t="str">
        <f aca="false">IF(ISNUMBER($AR17),$A17&amp;"|"&amp;$AR17,"")</f>
        <v/>
      </c>
      <c r="AT17" s="27" t="str">
        <f aca="false">IF($Y17=1,$AK17*$I17*$M17,"")</f>
        <v/>
      </c>
    </row>
    <row r="18" customFormat="false" ht="15" hidden="false" customHeight="false" outlineLevel="0" collapsed="false">
      <c r="A18" s="9" t="s">
        <v>181</v>
      </c>
      <c r="B18" s="9" t="s">
        <v>182</v>
      </c>
      <c r="C18" s="9" t="s">
        <v>76</v>
      </c>
      <c r="D18" s="9"/>
      <c r="E18" s="9"/>
      <c r="F18" s="9"/>
      <c r="G18" s="9"/>
      <c r="H18" s="9" t="s">
        <v>183</v>
      </c>
      <c r="I18" s="9"/>
      <c r="J18" s="13"/>
      <c r="K18" s="9"/>
      <c r="L18" s="12"/>
      <c r="M18" s="9"/>
      <c r="N18" s="9"/>
      <c r="O18" s="9"/>
      <c r="P18" s="9"/>
      <c r="Q18" s="16"/>
      <c r="R18" s="13"/>
      <c r="S18" s="9" t="s">
        <v>78</v>
      </c>
      <c r="T18" s="18" t="n">
        <f aca="false">IF($C18="","",IFERROR(INDEX(Fournisseurs!$C$5:$C$24,MATCH($C18,Fournisseurs!$A$5:$A$24,0)),""))</f>
        <v>0</v>
      </c>
      <c r="U18" s="25" t="n">
        <f aca="false">IF($C18="","",IFERROR(INDEX(Fournisseurs!$D$5:$D$24,MATCH($C18,Fournisseurs!$A$5:$A$24,0)),""))</f>
        <v>0</v>
      </c>
      <c r="V18" s="26" t="n">
        <f aca="false">IF($C18="","",IFERROR(INDEX(Fournisseurs!$G$5:$G$24,MATCH($C18,Fournisseurs!$A$5:$A$24,0)),""))</f>
        <v>0</v>
      </c>
      <c r="W18" s="18" t="n">
        <f aca="false">IF($C18="","",IFERROR(INDEX(Fournisseurs!$H$5:$H$24,MATCH($C18,Fournisseurs!$A$5:$A$24,0)),""))</f>
        <v>0</v>
      </c>
      <c r="X18" s="18" t="n">
        <f aca="false">IF($C18="","",IFERROR(INDEX(Fournisseurs!$B$5:$B$24,MATCH($C18,Fournisseurs!$A$5:$A$24,0)),""))</f>
        <v>0</v>
      </c>
      <c r="Y18" s="18" t="n">
        <f aca="false">IF($A18="","",IF(AND($A18&lt;&gt;"",$C18&lt;&gt;"",ISNUMBER($I18),ISNUMBER($J18),ISNUMBER($M18)),IF(AND($I18&gt;=1,$J18&gt;0,OR($K18="HT",$K18="TTC"),$M18&gt;=1,IFERROR(INDEX(Fournisseurs!$T$5:$T$24,MATCH($C18,Fournisseurs!$A$5:$A$24,0)),0)=1),1,0),0))</f>
        <v>0</v>
      </c>
      <c r="Z18" s="27" t="str">
        <f aca="false">IF($Y18=1,$J18*(1-N($L18)),"")</f>
        <v/>
      </c>
      <c r="AA18" s="28" t="str">
        <f aca="false">IF($Y18=1,IF($K18="TTC",$Z18/(1+$V18),$Z18),"")</f>
        <v/>
      </c>
      <c r="AB18" s="28" t="str">
        <f aca="false">IF($Y18=1,IF($K18="TTC",$Z18-$AA18,$AA18*$V18),"")</f>
        <v/>
      </c>
      <c r="AC18" s="27" t="str">
        <f aca="false">IF($Y18=1,$AA18*$U18*$M18,"")</f>
        <v/>
      </c>
      <c r="AD18" s="26" t="str">
        <f aca="false">IF($Y18=1,$AC18/SUMIFS($AC$6:$AC$205,$C$6:$C$205,$C18,$Y$6:$Y$205,1),"")</f>
        <v/>
      </c>
      <c r="AE18" s="28" t="str">
        <f aca="false">IF($Y18=1,(INDEX(Fournisseurs!$J$5:$J$24,MATCH($C18,Fournisseurs!$A$5:$A$24,0))+INDEX(Fournisseurs!$K$5:$K$24,MATCH($C18,Fournisseurs!$A$5:$A$24,0)))*$U18*$AD18/($I18*$M18),"")</f>
        <v/>
      </c>
      <c r="AF18" s="28" t="str">
        <f aca="false">IF($Y18=1,INDEX(Fournisseurs!$L$5:$L$24,MATCH($C18,Fournisseurs!$A$5:$A$24,0))*$AD18/($I18*$M18),"")</f>
        <v/>
      </c>
      <c r="AG18" s="28" t="str">
        <f aca="false">IF($Y18=1,$AA18*$U18/$I18,"")</f>
        <v/>
      </c>
      <c r="AH18" s="28" t="str">
        <f aca="false">IF($Y18=1,$AB18*$U18/$I18,"")</f>
        <v/>
      </c>
      <c r="AI18" s="18" t="str">
        <f aca="false">IF($Y18=1,IF(AND(Paramètres!$B$4="EFFECTIVE",$W18="CH",$AB18&gt;0),1,0),"")</f>
        <v/>
      </c>
      <c r="AJ18" s="28" t="str">
        <f aca="false">IF($Y18=1,IF($X18&lt;&gt;"CH",($AG18+$AE18+$AF18)*Paramètres!$B$14,0),"")</f>
        <v/>
      </c>
      <c r="AK18" s="29" t="str">
        <f aca="false">IF($Y18=1,$AG18+IF($AI18=1,0,$AH18)+$AE18+$AF18+IF(Paramètres!$B$4="NOT_REGISTERED",$AJ18,0),"")</f>
        <v/>
      </c>
      <c r="AL18" s="27" t="str">
        <f aca="false">IF($Y18=1,($AK18+Paramètres!$B$7+Paramètres!$B$8+Paramètres!$B$9+Paramètres!$B$10)/((1-Paramètres!$B$11)/(1+Paramètres!$B$5)-Paramètres!$B$6),"")</f>
        <v/>
      </c>
      <c r="AM18" s="26" t="str">
        <f aca="false">IF(AND($Y18=1,ISNUMBER($R18)),IF($R18&gt;0,$AL18/$R18-1,""),"")</f>
        <v/>
      </c>
      <c r="AN18" s="27" t="str">
        <f aca="false">IF(AND($Y18=1,ISNUMBER($R18)),IF($R18&gt;0,$R18/(1+Paramètres!$B$5)-$AK18-($R18*Paramètres!$B$6+Paramètres!$B$7)-Paramètres!$B$8-Paramètres!$B$9-Paramètres!$B$10,""),"")</f>
        <v/>
      </c>
      <c r="AO18" s="26" t="str">
        <f aca="false">IF(ISNUMBER($AN18),$AN18/($R18/(1+Paramètres!$B$5)),"")</f>
        <v/>
      </c>
      <c r="AP18" s="30" t="str">
        <f aca="false">IF($A18="","",IF($Y18&lt;&gt;1,"INCOMPLET",IF(NOT(ISNUMBER($AM18)),"SANS RÉF. MARCHÉ",IF($AM18&lt;=Paramètres!$B$12,"OK",IF(AND($AO18&gt;=Paramètres!$B$15,$AN18&gt;=Paramètres!$B$16),"À REVOIR","NON RENTABLE")))))</f>
        <v>INCOMPLET</v>
      </c>
      <c r="AQ18" s="18" t="str">
        <f aca="false">TRIM(IF(AND($Y18=1,ISNUMBER($N18)),IF($M18&lt;$N18,"MOQ ",""),"")&amp;IF(AND($Y18=1,ISNUMBER($O18)),IF($O18&lt;$I18*$M18,"DISPO ",""),"")&amp;IF($S18="O","FICTIF ","")&amp;IF($Y18=1,IF(AND($K18="TTC",$W18&lt;&gt;"CH"),"TVA-ÉTRANGÈRE ",""),""))</f>
        <v/>
      </c>
      <c r="AR18" s="18" t="str">
        <f aca="false">IF($Y18=1,COUNTIFS($A$6:$A$205,$A18,$AK$6:$AK$205,"&lt;"&amp;$AK18,$Y$6:$Y$205,1)+1,"")</f>
        <v/>
      </c>
      <c r="AS18" s="18" t="str">
        <f aca="false">IF(ISNUMBER($AR18),$A18&amp;"|"&amp;$AR18,"")</f>
        <v/>
      </c>
      <c r="AT18" s="27" t="str">
        <f aca="false">IF($Y18=1,$AK18*$I18*$M18,"")</f>
        <v/>
      </c>
    </row>
    <row r="19" customFormat="false" ht="15" hidden="false" customHeight="false" outlineLevel="0" collapsed="false">
      <c r="A19" s="9" t="s">
        <v>184</v>
      </c>
      <c r="B19" s="9" t="s">
        <v>185</v>
      </c>
      <c r="C19" s="9" t="s">
        <v>76</v>
      </c>
      <c r="D19" s="9"/>
      <c r="E19" s="9"/>
      <c r="F19" s="9"/>
      <c r="G19" s="9"/>
      <c r="H19" s="9" t="s">
        <v>183</v>
      </c>
      <c r="I19" s="9"/>
      <c r="J19" s="13"/>
      <c r="K19" s="9"/>
      <c r="L19" s="12"/>
      <c r="M19" s="9"/>
      <c r="N19" s="9"/>
      <c r="O19" s="9"/>
      <c r="P19" s="9"/>
      <c r="Q19" s="16"/>
      <c r="R19" s="13"/>
      <c r="S19" s="9" t="s">
        <v>78</v>
      </c>
      <c r="T19" s="18" t="n">
        <f aca="false">IF($C19="","",IFERROR(INDEX(Fournisseurs!$C$5:$C$24,MATCH($C19,Fournisseurs!$A$5:$A$24,0)),""))</f>
        <v>0</v>
      </c>
      <c r="U19" s="25" t="n">
        <f aca="false">IF($C19="","",IFERROR(INDEX(Fournisseurs!$D$5:$D$24,MATCH($C19,Fournisseurs!$A$5:$A$24,0)),""))</f>
        <v>0</v>
      </c>
      <c r="V19" s="26" t="n">
        <f aca="false">IF($C19="","",IFERROR(INDEX(Fournisseurs!$G$5:$G$24,MATCH($C19,Fournisseurs!$A$5:$A$24,0)),""))</f>
        <v>0</v>
      </c>
      <c r="W19" s="18" t="n">
        <f aca="false">IF($C19="","",IFERROR(INDEX(Fournisseurs!$H$5:$H$24,MATCH($C19,Fournisseurs!$A$5:$A$24,0)),""))</f>
        <v>0</v>
      </c>
      <c r="X19" s="18" t="n">
        <f aca="false">IF($C19="","",IFERROR(INDEX(Fournisseurs!$B$5:$B$24,MATCH($C19,Fournisseurs!$A$5:$A$24,0)),""))</f>
        <v>0</v>
      </c>
      <c r="Y19" s="18" t="n">
        <f aca="false">IF($A19="","",IF(AND($A19&lt;&gt;"",$C19&lt;&gt;"",ISNUMBER($I19),ISNUMBER($J19),ISNUMBER($M19)),IF(AND($I19&gt;=1,$J19&gt;0,OR($K19="HT",$K19="TTC"),$M19&gt;=1,IFERROR(INDEX(Fournisseurs!$T$5:$T$24,MATCH($C19,Fournisseurs!$A$5:$A$24,0)),0)=1),1,0),0))</f>
        <v>0</v>
      </c>
      <c r="Z19" s="27" t="str">
        <f aca="false">IF($Y19=1,$J19*(1-N($L19)),"")</f>
        <v/>
      </c>
      <c r="AA19" s="28" t="str">
        <f aca="false">IF($Y19=1,IF($K19="TTC",$Z19/(1+$V19),$Z19),"")</f>
        <v/>
      </c>
      <c r="AB19" s="28" t="str">
        <f aca="false">IF($Y19=1,IF($K19="TTC",$Z19-$AA19,$AA19*$V19),"")</f>
        <v/>
      </c>
      <c r="AC19" s="27" t="str">
        <f aca="false">IF($Y19=1,$AA19*$U19*$M19,"")</f>
        <v/>
      </c>
      <c r="AD19" s="26" t="str">
        <f aca="false">IF($Y19=1,$AC19/SUMIFS($AC$6:$AC$205,$C$6:$C$205,$C19,$Y$6:$Y$205,1),"")</f>
        <v/>
      </c>
      <c r="AE19" s="28" t="str">
        <f aca="false">IF($Y19=1,(INDEX(Fournisseurs!$J$5:$J$24,MATCH($C19,Fournisseurs!$A$5:$A$24,0))+INDEX(Fournisseurs!$K$5:$K$24,MATCH($C19,Fournisseurs!$A$5:$A$24,0)))*$U19*$AD19/($I19*$M19),"")</f>
        <v/>
      </c>
      <c r="AF19" s="28" t="str">
        <f aca="false">IF($Y19=1,INDEX(Fournisseurs!$L$5:$L$24,MATCH($C19,Fournisseurs!$A$5:$A$24,0))*$AD19/($I19*$M19),"")</f>
        <v/>
      </c>
      <c r="AG19" s="28" t="str">
        <f aca="false">IF($Y19=1,$AA19*$U19/$I19,"")</f>
        <v/>
      </c>
      <c r="AH19" s="28" t="str">
        <f aca="false">IF($Y19=1,$AB19*$U19/$I19,"")</f>
        <v/>
      </c>
      <c r="AI19" s="18" t="str">
        <f aca="false">IF($Y19=1,IF(AND(Paramètres!$B$4="EFFECTIVE",$W19="CH",$AB19&gt;0),1,0),"")</f>
        <v/>
      </c>
      <c r="AJ19" s="28" t="str">
        <f aca="false">IF($Y19=1,IF($X19&lt;&gt;"CH",($AG19+$AE19+$AF19)*Paramètres!$B$14,0),"")</f>
        <v/>
      </c>
      <c r="AK19" s="29" t="str">
        <f aca="false">IF($Y19=1,$AG19+IF($AI19=1,0,$AH19)+$AE19+$AF19+IF(Paramètres!$B$4="NOT_REGISTERED",$AJ19,0),"")</f>
        <v/>
      </c>
      <c r="AL19" s="27" t="str">
        <f aca="false">IF($Y19=1,($AK19+Paramètres!$B$7+Paramètres!$B$8+Paramètres!$B$9+Paramètres!$B$10)/((1-Paramètres!$B$11)/(1+Paramètres!$B$5)-Paramètres!$B$6),"")</f>
        <v/>
      </c>
      <c r="AM19" s="26" t="str">
        <f aca="false">IF(AND($Y19=1,ISNUMBER($R19)),IF($R19&gt;0,$AL19/$R19-1,""),"")</f>
        <v/>
      </c>
      <c r="AN19" s="27" t="str">
        <f aca="false">IF(AND($Y19=1,ISNUMBER($R19)),IF($R19&gt;0,$R19/(1+Paramètres!$B$5)-$AK19-($R19*Paramètres!$B$6+Paramètres!$B$7)-Paramètres!$B$8-Paramètres!$B$9-Paramètres!$B$10,""),"")</f>
        <v/>
      </c>
      <c r="AO19" s="26" t="str">
        <f aca="false">IF(ISNUMBER($AN19),$AN19/($R19/(1+Paramètres!$B$5)),"")</f>
        <v/>
      </c>
      <c r="AP19" s="30" t="str">
        <f aca="false">IF($A19="","",IF($Y19&lt;&gt;1,"INCOMPLET",IF(NOT(ISNUMBER($AM19)),"SANS RÉF. MARCHÉ",IF($AM19&lt;=Paramètres!$B$12,"OK",IF(AND($AO19&gt;=Paramètres!$B$15,$AN19&gt;=Paramètres!$B$16),"À REVOIR","NON RENTABLE")))))</f>
        <v>INCOMPLET</v>
      </c>
      <c r="AQ19" s="18" t="str">
        <f aca="false">TRIM(IF(AND($Y19=1,ISNUMBER($N19)),IF($M19&lt;$N19,"MOQ ",""),"")&amp;IF(AND($Y19=1,ISNUMBER($O19)),IF($O19&lt;$I19*$M19,"DISPO ",""),"")&amp;IF($S19="O","FICTIF ","")&amp;IF($Y19=1,IF(AND($K19="TTC",$W19&lt;&gt;"CH"),"TVA-ÉTRANGÈRE ",""),""))</f>
        <v/>
      </c>
      <c r="AR19" s="18" t="str">
        <f aca="false">IF($Y19=1,COUNTIFS($A$6:$A$205,$A19,$AK$6:$AK$205,"&lt;"&amp;$AK19,$Y$6:$Y$205,1)+1,"")</f>
        <v/>
      </c>
      <c r="AS19" s="18" t="str">
        <f aca="false">IF(ISNUMBER($AR19),$A19&amp;"|"&amp;$AR19,"")</f>
        <v/>
      </c>
      <c r="AT19" s="27" t="str">
        <f aca="false">IF($Y19=1,$AK19*$I19*$M19,"")</f>
        <v/>
      </c>
    </row>
    <row r="20" customFormat="false" ht="15" hidden="false" customHeight="false" outlineLevel="0" collapsed="false">
      <c r="A20" s="9" t="s">
        <v>186</v>
      </c>
      <c r="B20" s="9" t="s">
        <v>187</v>
      </c>
      <c r="C20" s="9" t="s">
        <v>76</v>
      </c>
      <c r="D20" s="9"/>
      <c r="E20" s="9"/>
      <c r="F20" s="9"/>
      <c r="G20" s="9" t="s">
        <v>161</v>
      </c>
      <c r="H20" s="9" t="s">
        <v>177</v>
      </c>
      <c r="I20" s="9"/>
      <c r="J20" s="13"/>
      <c r="K20" s="9"/>
      <c r="L20" s="12"/>
      <c r="M20" s="9"/>
      <c r="N20" s="9"/>
      <c r="O20" s="9"/>
      <c r="P20" s="9"/>
      <c r="Q20" s="16"/>
      <c r="R20" s="13"/>
      <c r="S20" s="9" t="s">
        <v>78</v>
      </c>
      <c r="T20" s="18" t="n">
        <f aca="false">IF($C20="","",IFERROR(INDEX(Fournisseurs!$C$5:$C$24,MATCH($C20,Fournisseurs!$A$5:$A$24,0)),""))</f>
        <v>0</v>
      </c>
      <c r="U20" s="25" t="n">
        <f aca="false">IF($C20="","",IFERROR(INDEX(Fournisseurs!$D$5:$D$24,MATCH($C20,Fournisseurs!$A$5:$A$24,0)),""))</f>
        <v>0</v>
      </c>
      <c r="V20" s="26" t="n">
        <f aca="false">IF($C20="","",IFERROR(INDEX(Fournisseurs!$G$5:$G$24,MATCH($C20,Fournisseurs!$A$5:$A$24,0)),""))</f>
        <v>0</v>
      </c>
      <c r="W20" s="18" t="n">
        <f aca="false">IF($C20="","",IFERROR(INDEX(Fournisseurs!$H$5:$H$24,MATCH($C20,Fournisseurs!$A$5:$A$24,0)),""))</f>
        <v>0</v>
      </c>
      <c r="X20" s="18" t="n">
        <f aca="false">IF($C20="","",IFERROR(INDEX(Fournisseurs!$B$5:$B$24,MATCH($C20,Fournisseurs!$A$5:$A$24,0)),""))</f>
        <v>0</v>
      </c>
      <c r="Y20" s="18" t="n">
        <f aca="false">IF($A20="","",IF(AND($A20&lt;&gt;"",$C20&lt;&gt;"",ISNUMBER($I20),ISNUMBER($J20),ISNUMBER($M20)),IF(AND($I20&gt;=1,$J20&gt;0,OR($K20="HT",$K20="TTC"),$M20&gt;=1,IFERROR(INDEX(Fournisseurs!$T$5:$T$24,MATCH($C20,Fournisseurs!$A$5:$A$24,0)),0)=1),1,0),0))</f>
        <v>0</v>
      </c>
      <c r="Z20" s="27" t="str">
        <f aca="false">IF($Y20=1,$J20*(1-N($L20)),"")</f>
        <v/>
      </c>
      <c r="AA20" s="28" t="str">
        <f aca="false">IF($Y20=1,IF($K20="TTC",$Z20/(1+$V20),$Z20),"")</f>
        <v/>
      </c>
      <c r="AB20" s="28" t="str">
        <f aca="false">IF($Y20=1,IF($K20="TTC",$Z20-$AA20,$AA20*$V20),"")</f>
        <v/>
      </c>
      <c r="AC20" s="27" t="str">
        <f aca="false">IF($Y20=1,$AA20*$U20*$M20,"")</f>
        <v/>
      </c>
      <c r="AD20" s="26" t="str">
        <f aca="false">IF($Y20=1,$AC20/SUMIFS($AC$6:$AC$205,$C$6:$C$205,$C20,$Y$6:$Y$205,1),"")</f>
        <v/>
      </c>
      <c r="AE20" s="28" t="str">
        <f aca="false">IF($Y20=1,(INDEX(Fournisseurs!$J$5:$J$24,MATCH($C20,Fournisseurs!$A$5:$A$24,0))+INDEX(Fournisseurs!$K$5:$K$24,MATCH($C20,Fournisseurs!$A$5:$A$24,0)))*$U20*$AD20/($I20*$M20),"")</f>
        <v/>
      </c>
      <c r="AF20" s="28" t="str">
        <f aca="false">IF($Y20=1,INDEX(Fournisseurs!$L$5:$L$24,MATCH($C20,Fournisseurs!$A$5:$A$24,0))*$AD20/($I20*$M20),"")</f>
        <v/>
      </c>
      <c r="AG20" s="28" t="str">
        <f aca="false">IF($Y20=1,$AA20*$U20/$I20,"")</f>
        <v/>
      </c>
      <c r="AH20" s="28" t="str">
        <f aca="false">IF($Y20=1,$AB20*$U20/$I20,"")</f>
        <v/>
      </c>
      <c r="AI20" s="18" t="str">
        <f aca="false">IF($Y20=1,IF(AND(Paramètres!$B$4="EFFECTIVE",$W20="CH",$AB20&gt;0),1,0),"")</f>
        <v/>
      </c>
      <c r="AJ20" s="28" t="str">
        <f aca="false">IF($Y20=1,IF($X20&lt;&gt;"CH",($AG20+$AE20+$AF20)*Paramètres!$B$14,0),"")</f>
        <v/>
      </c>
      <c r="AK20" s="29" t="str">
        <f aca="false">IF($Y20=1,$AG20+IF($AI20=1,0,$AH20)+$AE20+$AF20+IF(Paramètres!$B$4="NOT_REGISTERED",$AJ20,0),"")</f>
        <v/>
      </c>
      <c r="AL20" s="27" t="str">
        <f aca="false">IF($Y20=1,($AK20+Paramètres!$B$7+Paramètres!$B$8+Paramètres!$B$9+Paramètres!$B$10)/((1-Paramètres!$B$11)/(1+Paramètres!$B$5)-Paramètres!$B$6),"")</f>
        <v/>
      </c>
      <c r="AM20" s="26" t="str">
        <f aca="false">IF(AND($Y20=1,ISNUMBER($R20)),IF($R20&gt;0,$AL20/$R20-1,""),"")</f>
        <v/>
      </c>
      <c r="AN20" s="27" t="str">
        <f aca="false">IF(AND($Y20=1,ISNUMBER($R20)),IF($R20&gt;0,$R20/(1+Paramètres!$B$5)-$AK20-($R20*Paramètres!$B$6+Paramètres!$B$7)-Paramètres!$B$8-Paramètres!$B$9-Paramètres!$B$10,""),"")</f>
        <v/>
      </c>
      <c r="AO20" s="26" t="str">
        <f aca="false">IF(ISNUMBER($AN20),$AN20/($R20/(1+Paramètres!$B$5)),"")</f>
        <v/>
      </c>
      <c r="AP20" s="30" t="str">
        <f aca="false">IF($A20="","",IF($Y20&lt;&gt;1,"INCOMPLET",IF(NOT(ISNUMBER($AM20)),"SANS RÉF. MARCHÉ",IF($AM20&lt;=Paramètres!$B$12,"OK",IF(AND($AO20&gt;=Paramètres!$B$15,$AN20&gt;=Paramètres!$B$16),"À REVOIR","NON RENTABLE")))))</f>
        <v>INCOMPLET</v>
      </c>
      <c r="AQ20" s="18" t="str">
        <f aca="false">TRIM(IF(AND($Y20=1,ISNUMBER($N20)),IF($M20&lt;$N20,"MOQ ",""),"")&amp;IF(AND($Y20=1,ISNUMBER($O20)),IF($O20&lt;$I20*$M20,"DISPO ",""),"")&amp;IF($S20="O","FICTIF ","")&amp;IF($Y20=1,IF(AND($K20="TTC",$W20&lt;&gt;"CH"),"TVA-ÉTRANGÈRE ",""),""))</f>
        <v/>
      </c>
      <c r="AR20" s="18" t="str">
        <f aca="false">IF($Y20=1,COUNTIFS($A$6:$A$205,$A20,$AK$6:$AK$205,"&lt;"&amp;$AK20,$Y$6:$Y$205,1)+1,"")</f>
        <v/>
      </c>
      <c r="AS20" s="18" t="str">
        <f aca="false">IF(ISNUMBER($AR20),$A20&amp;"|"&amp;$AR20,"")</f>
        <v/>
      </c>
      <c r="AT20" s="27" t="str">
        <f aca="false">IF($Y20=1,$AK20*$I20*$M20,"")</f>
        <v/>
      </c>
    </row>
    <row r="21" customFormat="false" ht="15" hidden="false" customHeight="false" outlineLevel="0" collapsed="false">
      <c r="A21" s="9" t="s">
        <v>188</v>
      </c>
      <c r="B21" s="9" t="s">
        <v>189</v>
      </c>
      <c r="C21" s="9" t="s">
        <v>76</v>
      </c>
      <c r="D21" s="9"/>
      <c r="E21" s="9"/>
      <c r="F21" s="9"/>
      <c r="G21" s="9" t="s">
        <v>161</v>
      </c>
      <c r="H21" s="9" t="s">
        <v>177</v>
      </c>
      <c r="I21" s="9"/>
      <c r="J21" s="13"/>
      <c r="K21" s="9"/>
      <c r="L21" s="12"/>
      <c r="M21" s="9"/>
      <c r="N21" s="9"/>
      <c r="O21" s="9"/>
      <c r="P21" s="9"/>
      <c r="Q21" s="16"/>
      <c r="R21" s="13"/>
      <c r="S21" s="9" t="s">
        <v>78</v>
      </c>
      <c r="T21" s="18" t="n">
        <f aca="false">IF($C21="","",IFERROR(INDEX(Fournisseurs!$C$5:$C$24,MATCH($C21,Fournisseurs!$A$5:$A$24,0)),""))</f>
        <v>0</v>
      </c>
      <c r="U21" s="25" t="n">
        <f aca="false">IF($C21="","",IFERROR(INDEX(Fournisseurs!$D$5:$D$24,MATCH($C21,Fournisseurs!$A$5:$A$24,0)),""))</f>
        <v>0</v>
      </c>
      <c r="V21" s="26" t="n">
        <f aca="false">IF($C21="","",IFERROR(INDEX(Fournisseurs!$G$5:$G$24,MATCH($C21,Fournisseurs!$A$5:$A$24,0)),""))</f>
        <v>0</v>
      </c>
      <c r="W21" s="18" t="n">
        <f aca="false">IF($C21="","",IFERROR(INDEX(Fournisseurs!$H$5:$H$24,MATCH($C21,Fournisseurs!$A$5:$A$24,0)),""))</f>
        <v>0</v>
      </c>
      <c r="X21" s="18" t="n">
        <f aca="false">IF($C21="","",IFERROR(INDEX(Fournisseurs!$B$5:$B$24,MATCH($C21,Fournisseurs!$A$5:$A$24,0)),""))</f>
        <v>0</v>
      </c>
      <c r="Y21" s="18" t="n">
        <f aca="false">IF($A21="","",IF(AND($A21&lt;&gt;"",$C21&lt;&gt;"",ISNUMBER($I21),ISNUMBER($J21),ISNUMBER($M21)),IF(AND($I21&gt;=1,$J21&gt;0,OR($K21="HT",$K21="TTC"),$M21&gt;=1,IFERROR(INDEX(Fournisseurs!$T$5:$T$24,MATCH($C21,Fournisseurs!$A$5:$A$24,0)),0)=1),1,0),0))</f>
        <v>0</v>
      </c>
      <c r="Z21" s="27" t="str">
        <f aca="false">IF($Y21=1,$J21*(1-N($L21)),"")</f>
        <v/>
      </c>
      <c r="AA21" s="28" t="str">
        <f aca="false">IF($Y21=1,IF($K21="TTC",$Z21/(1+$V21),$Z21),"")</f>
        <v/>
      </c>
      <c r="AB21" s="28" t="str">
        <f aca="false">IF($Y21=1,IF($K21="TTC",$Z21-$AA21,$AA21*$V21),"")</f>
        <v/>
      </c>
      <c r="AC21" s="27" t="str">
        <f aca="false">IF($Y21=1,$AA21*$U21*$M21,"")</f>
        <v/>
      </c>
      <c r="AD21" s="26" t="str">
        <f aca="false">IF($Y21=1,$AC21/SUMIFS($AC$6:$AC$205,$C$6:$C$205,$C21,$Y$6:$Y$205,1),"")</f>
        <v/>
      </c>
      <c r="AE21" s="28" t="str">
        <f aca="false">IF($Y21=1,(INDEX(Fournisseurs!$J$5:$J$24,MATCH($C21,Fournisseurs!$A$5:$A$24,0))+INDEX(Fournisseurs!$K$5:$K$24,MATCH($C21,Fournisseurs!$A$5:$A$24,0)))*$U21*$AD21/($I21*$M21),"")</f>
        <v/>
      </c>
      <c r="AF21" s="28" t="str">
        <f aca="false">IF($Y21=1,INDEX(Fournisseurs!$L$5:$L$24,MATCH($C21,Fournisseurs!$A$5:$A$24,0))*$AD21/($I21*$M21),"")</f>
        <v/>
      </c>
      <c r="AG21" s="28" t="str">
        <f aca="false">IF($Y21=1,$AA21*$U21/$I21,"")</f>
        <v/>
      </c>
      <c r="AH21" s="28" t="str">
        <f aca="false">IF($Y21=1,$AB21*$U21/$I21,"")</f>
        <v/>
      </c>
      <c r="AI21" s="18" t="str">
        <f aca="false">IF($Y21=1,IF(AND(Paramètres!$B$4="EFFECTIVE",$W21="CH",$AB21&gt;0),1,0),"")</f>
        <v/>
      </c>
      <c r="AJ21" s="28" t="str">
        <f aca="false">IF($Y21=1,IF($X21&lt;&gt;"CH",($AG21+$AE21+$AF21)*Paramètres!$B$14,0),"")</f>
        <v/>
      </c>
      <c r="AK21" s="29" t="str">
        <f aca="false">IF($Y21=1,$AG21+IF($AI21=1,0,$AH21)+$AE21+$AF21+IF(Paramètres!$B$4="NOT_REGISTERED",$AJ21,0),"")</f>
        <v/>
      </c>
      <c r="AL21" s="27" t="str">
        <f aca="false">IF($Y21=1,($AK21+Paramètres!$B$7+Paramètres!$B$8+Paramètres!$B$9+Paramètres!$B$10)/((1-Paramètres!$B$11)/(1+Paramètres!$B$5)-Paramètres!$B$6),"")</f>
        <v/>
      </c>
      <c r="AM21" s="26" t="str">
        <f aca="false">IF(AND($Y21=1,ISNUMBER($R21)),IF($R21&gt;0,$AL21/$R21-1,""),"")</f>
        <v/>
      </c>
      <c r="AN21" s="27" t="str">
        <f aca="false">IF(AND($Y21=1,ISNUMBER($R21)),IF($R21&gt;0,$R21/(1+Paramètres!$B$5)-$AK21-($R21*Paramètres!$B$6+Paramètres!$B$7)-Paramètres!$B$8-Paramètres!$B$9-Paramètres!$B$10,""),"")</f>
        <v/>
      </c>
      <c r="AO21" s="26" t="str">
        <f aca="false">IF(ISNUMBER($AN21),$AN21/($R21/(1+Paramètres!$B$5)),"")</f>
        <v/>
      </c>
      <c r="AP21" s="30" t="str">
        <f aca="false">IF($A21="","",IF($Y21&lt;&gt;1,"INCOMPLET",IF(NOT(ISNUMBER($AM21)),"SANS RÉF. MARCHÉ",IF($AM21&lt;=Paramètres!$B$12,"OK",IF(AND($AO21&gt;=Paramètres!$B$15,$AN21&gt;=Paramètres!$B$16),"À REVOIR","NON RENTABLE")))))</f>
        <v>INCOMPLET</v>
      </c>
      <c r="AQ21" s="18" t="str">
        <f aca="false">TRIM(IF(AND($Y21=1,ISNUMBER($N21)),IF($M21&lt;$N21,"MOQ ",""),"")&amp;IF(AND($Y21=1,ISNUMBER($O21)),IF($O21&lt;$I21*$M21,"DISPO ",""),"")&amp;IF($S21="O","FICTIF ","")&amp;IF($Y21=1,IF(AND($K21="TTC",$W21&lt;&gt;"CH"),"TVA-ÉTRANGÈRE ",""),""))</f>
        <v/>
      </c>
      <c r="AR21" s="18" t="str">
        <f aca="false">IF($Y21=1,COUNTIFS($A$6:$A$205,$A21,$AK$6:$AK$205,"&lt;"&amp;$AK21,$Y$6:$Y$205,1)+1,"")</f>
        <v/>
      </c>
      <c r="AS21" s="18" t="str">
        <f aca="false">IF(ISNUMBER($AR21),$A21&amp;"|"&amp;$AR21,"")</f>
        <v/>
      </c>
      <c r="AT21" s="27" t="str">
        <f aca="false">IF($Y21=1,$AK21*$I21*$M21,"")</f>
        <v/>
      </c>
    </row>
    <row r="22" customFormat="false" ht="15" hidden="false" customHeight="false" outlineLevel="0" collapsed="false">
      <c r="A22" s="9" t="s">
        <v>190</v>
      </c>
      <c r="B22" s="9" t="s">
        <v>191</v>
      </c>
      <c r="C22" s="9" t="s">
        <v>76</v>
      </c>
      <c r="D22" s="9"/>
      <c r="E22" s="9"/>
      <c r="F22" s="9"/>
      <c r="G22" s="9" t="s">
        <v>158</v>
      </c>
      <c r="H22" s="9" t="s">
        <v>148</v>
      </c>
      <c r="I22" s="9"/>
      <c r="J22" s="13"/>
      <c r="K22" s="9"/>
      <c r="L22" s="12"/>
      <c r="M22" s="9"/>
      <c r="N22" s="9"/>
      <c r="O22" s="9"/>
      <c r="P22" s="9"/>
      <c r="Q22" s="16"/>
      <c r="R22" s="13"/>
      <c r="S22" s="9" t="s">
        <v>78</v>
      </c>
      <c r="T22" s="18" t="n">
        <f aca="false">IF($C22="","",IFERROR(INDEX(Fournisseurs!$C$5:$C$24,MATCH($C22,Fournisseurs!$A$5:$A$24,0)),""))</f>
        <v>0</v>
      </c>
      <c r="U22" s="25" t="n">
        <f aca="false">IF($C22="","",IFERROR(INDEX(Fournisseurs!$D$5:$D$24,MATCH($C22,Fournisseurs!$A$5:$A$24,0)),""))</f>
        <v>0</v>
      </c>
      <c r="V22" s="26" t="n">
        <f aca="false">IF($C22="","",IFERROR(INDEX(Fournisseurs!$G$5:$G$24,MATCH($C22,Fournisseurs!$A$5:$A$24,0)),""))</f>
        <v>0</v>
      </c>
      <c r="W22" s="18" t="n">
        <f aca="false">IF($C22="","",IFERROR(INDEX(Fournisseurs!$H$5:$H$24,MATCH($C22,Fournisseurs!$A$5:$A$24,0)),""))</f>
        <v>0</v>
      </c>
      <c r="X22" s="18" t="n">
        <f aca="false">IF($C22="","",IFERROR(INDEX(Fournisseurs!$B$5:$B$24,MATCH($C22,Fournisseurs!$A$5:$A$24,0)),""))</f>
        <v>0</v>
      </c>
      <c r="Y22" s="18" t="n">
        <f aca="false">IF($A22="","",IF(AND($A22&lt;&gt;"",$C22&lt;&gt;"",ISNUMBER($I22),ISNUMBER($J22),ISNUMBER($M22)),IF(AND($I22&gt;=1,$J22&gt;0,OR($K22="HT",$K22="TTC"),$M22&gt;=1,IFERROR(INDEX(Fournisseurs!$T$5:$T$24,MATCH($C22,Fournisseurs!$A$5:$A$24,0)),0)=1),1,0),0))</f>
        <v>0</v>
      </c>
      <c r="Z22" s="27" t="str">
        <f aca="false">IF($Y22=1,$J22*(1-N($L22)),"")</f>
        <v/>
      </c>
      <c r="AA22" s="28" t="str">
        <f aca="false">IF($Y22=1,IF($K22="TTC",$Z22/(1+$V22),$Z22),"")</f>
        <v/>
      </c>
      <c r="AB22" s="28" t="str">
        <f aca="false">IF($Y22=1,IF($K22="TTC",$Z22-$AA22,$AA22*$V22),"")</f>
        <v/>
      </c>
      <c r="AC22" s="27" t="str">
        <f aca="false">IF($Y22=1,$AA22*$U22*$M22,"")</f>
        <v/>
      </c>
      <c r="AD22" s="26" t="str">
        <f aca="false">IF($Y22=1,$AC22/SUMIFS($AC$6:$AC$205,$C$6:$C$205,$C22,$Y$6:$Y$205,1),"")</f>
        <v/>
      </c>
      <c r="AE22" s="28" t="str">
        <f aca="false">IF($Y22=1,(INDEX(Fournisseurs!$J$5:$J$24,MATCH($C22,Fournisseurs!$A$5:$A$24,0))+INDEX(Fournisseurs!$K$5:$K$24,MATCH($C22,Fournisseurs!$A$5:$A$24,0)))*$U22*$AD22/($I22*$M22),"")</f>
        <v/>
      </c>
      <c r="AF22" s="28" t="str">
        <f aca="false">IF($Y22=1,INDEX(Fournisseurs!$L$5:$L$24,MATCH($C22,Fournisseurs!$A$5:$A$24,0))*$AD22/($I22*$M22),"")</f>
        <v/>
      </c>
      <c r="AG22" s="28" t="str">
        <f aca="false">IF($Y22=1,$AA22*$U22/$I22,"")</f>
        <v/>
      </c>
      <c r="AH22" s="28" t="str">
        <f aca="false">IF($Y22=1,$AB22*$U22/$I22,"")</f>
        <v/>
      </c>
      <c r="AI22" s="18" t="str">
        <f aca="false">IF($Y22=1,IF(AND(Paramètres!$B$4="EFFECTIVE",$W22="CH",$AB22&gt;0),1,0),"")</f>
        <v/>
      </c>
      <c r="AJ22" s="28" t="str">
        <f aca="false">IF($Y22=1,IF($X22&lt;&gt;"CH",($AG22+$AE22+$AF22)*Paramètres!$B$14,0),"")</f>
        <v/>
      </c>
      <c r="AK22" s="29" t="str">
        <f aca="false">IF($Y22=1,$AG22+IF($AI22=1,0,$AH22)+$AE22+$AF22+IF(Paramètres!$B$4="NOT_REGISTERED",$AJ22,0),"")</f>
        <v/>
      </c>
      <c r="AL22" s="27" t="str">
        <f aca="false">IF($Y22=1,($AK22+Paramètres!$B$7+Paramètres!$B$8+Paramètres!$B$9+Paramètres!$B$10)/((1-Paramètres!$B$11)/(1+Paramètres!$B$5)-Paramètres!$B$6),"")</f>
        <v/>
      </c>
      <c r="AM22" s="26" t="str">
        <f aca="false">IF(AND($Y22=1,ISNUMBER($R22)),IF($R22&gt;0,$AL22/$R22-1,""),"")</f>
        <v/>
      </c>
      <c r="AN22" s="27" t="str">
        <f aca="false">IF(AND($Y22=1,ISNUMBER($R22)),IF($R22&gt;0,$R22/(1+Paramètres!$B$5)-$AK22-($R22*Paramètres!$B$6+Paramètres!$B$7)-Paramètres!$B$8-Paramètres!$B$9-Paramètres!$B$10,""),"")</f>
        <v/>
      </c>
      <c r="AO22" s="26" t="str">
        <f aca="false">IF(ISNUMBER($AN22),$AN22/($R22/(1+Paramètres!$B$5)),"")</f>
        <v/>
      </c>
      <c r="AP22" s="30" t="str">
        <f aca="false">IF($A22="","",IF($Y22&lt;&gt;1,"INCOMPLET",IF(NOT(ISNUMBER($AM22)),"SANS RÉF. MARCHÉ",IF($AM22&lt;=Paramètres!$B$12,"OK",IF(AND($AO22&gt;=Paramètres!$B$15,$AN22&gt;=Paramètres!$B$16),"À REVOIR","NON RENTABLE")))))</f>
        <v>INCOMPLET</v>
      </c>
      <c r="AQ22" s="18" t="str">
        <f aca="false">TRIM(IF(AND($Y22=1,ISNUMBER($N22)),IF($M22&lt;$N22,"MOQ ",""),"")&amp;IF(AND($Y22=1,ISNUMBER($O22)),IF($O22&lt;$I22*$M22,"DISPO ",""),"")&amp;IF($S22="O","FICTIF ","")&amp;IF($Y22=1,IF(AND($K22="TTC",$W22&lt;&gt;"CH"),"TVA-ÉTRANGÈRE ",""),""))</f>
        <v/>
      </c>
      <c r="AR22" s="18" t="str">
        <f aca="false">IF($Y22=1,COUNTIFS($A$6:$A$205,$A22,$AK$6:$AK$205,"&lt;"&amp;$AK22,$Y$6:$Y$205,1)+1,"")</f>
        <v/>
      </c>
      <c r="AS22" s="18" t="str">
        <f aca="false">IF(ISNUMBER($AR22),$A22&amp;"|"&amp;$AR22,"")</f>
        <v/>
      </c>
      <c r="AT22" s="27" t="str">
        <f aca="false">IF($Y22=1,$AK22*$I22*$M22,"")</f>
        <v/>
      </c>
    </row>
    <row r="23" customFormat="false" ht="15" hidden="false" customHeight="false" outlineLevel="0" collapsed="false">
      <c r="A23" s="9" t="s">
        <v>192</v>
      </c>
      <c r="B23" s="9" t="s">
        <v>193</v>
      </c>
      <c r="C23" s="9" t="s">
        <v>76</v>
      </c>
      <c r="D23" s="9"/>
      <c r="E23" s="9"/>
      <c r="F23" s="9"/>
      <c r="G23" s="9" t="s">
        <v>194</v>
      </c>
      <c r="H23" s="9" t="s">
        <v>148</v>
      </c>
      <c r="I23" s="9"/>
      <c r="J23" s="13"/>
      <c r="K23" s="9"/>
      <c r="L23" s="12"/>
      <c r="M23" s="9"/>
      <c r="N23" s="9"/>
      <c r="O23" s="9"/>
      <c r="P23" s="9"/>
      <c r="Q23" s="16"/>
      <c r="R23" s="13"/>
      <c r="S23" s="9" t="s">
        <v>78</v>
      </c>
      <c r="T23" s="18" t="n">
        <f aca="false">IF($C23="","",IFERROR(INDEX(Fournisseurs!$C$5:$C$24,MATCH($C23,Fournisseurs!$A$5:$A$24,0)),""))</f>
        <v>0</v>
      </c>
      <c r="U23" s="25" t="n">
        <f aca="false">IF($C23="","",IFERROR(INDEX(Fournisseurs!$D$5:$D$24,MATCH($C23,Fournisseurs!$A$5:$A$24,0)),""))</f>
        <v>0</v>
      </c>
      <c r="V23" s="26" t="n">
        <f aca="false">IF($C23="","",IFERROR(INDEX(Fournisseurs!$G$5:$G$24,MATCH($C23,Fournisseurs!$A$5:$A$24,0)),""))</f>
        <v>0</v>
      </c>
      <c r="W23" s="18" t="n">
        <f aca="false">IF($C23="","",IFERROR(INDEX(Fournisseurs!$H$5:$H$24,MATCH($C23,Fournisseurs!$A$5:$A$24,0)),""))</f>
        <v>0</v>
      </c>
      <c r="X23" s="18" t="n">
        <f aca="false">IF($C23="","",IFERROR(INDEX(Fournisseurs!$B$5:$B$24,MATCH($C23,Fournisseurs!$A$5:$A$24,0)),""))</f>
        <v>0</v>
      </c>
      <c r="Y23" s="18" t="n">
        <f aca="false">IF($A23="","",IF(AND($A23&lt;&gt;"",$C23&lt;&gt;"",ISNUMBER($I23),ISNUMBER($J23),ISNUMBER($M23)),IF(AND($I23&gt;=1,$J23&gt;0,OR($K23="HT",$K23="TTC"),$M23&gt;=1,IFERROR(INDEX(Fournisseurs!$T$5:$T$24,MATCH($C23,Fournisseurs!$A$5:$A$24,0)),0)=1),1,0),0))</f>
        <v>0</v>
      </c>
      <c r="Z23" s="27" t="str">
        <f aca="false">IF($Y23=1,$J23*(1-N($L23)),"")</f>
        <v/>
      </c>
      <c r="AA23" s="28" t="str">
        <f aca="false">IF($Y23=1,IF($K23="TTC",$Z23/(1+$V23),$Z23),"")</f>
        <v/>
      </c>
      <c r="AB23" s="28" t="str">
        <f aca="false">IF($Y23=1,IF($K23="TTC",$Z23-$AA23,$AA23*$V23),"")</f>
        <v/>
      </c>
      <c r="AC23" s="27" t="str">
        <f aca="false">IF($Y23=1,$AA23*$U23*$M23,"")</f>
        <v/>
      </c>
      <c r="AD23" s="26" t="str">
        <f aca="false">IF($Y23=1,$AC23/SUMIFS($AC$6:$AC$205,$C$6:$C$205,$C23,$Y$6:$Y$205,1),"")</f>
        <v/>
      </c>
      <c r="AE23" s="28" t="str">
        <f aca="false">IF($Y23=1,(INDEX(Fournisseurs!$J$5:$J$24,MATCH($C23,Fournisseurs!$A$5:$A$24,0))+INDEX(Fournisseurs!$K$5:$K$24,MATCH($C23,Fournisseurs!$A$5:$A$24,0)))*$U23*$AD23/($I23*$M23),"")</f>
        <v/>
      </c>
      <c r="AF23" s="28" t="str">
        <f aca="false">IF($Y23=1,INDEX(Fournisseurs!$L$5:$L$24,MATCH($C23,Fournisseurs!$A$5:$A$24,0))*$AD23/($I23*$M23),"")</f>
        <v/>
      </c>
      <c r="AG23" s="28" t="str">
        <f aca="false">IF($Y23=1,$AA23*$U23/$I23,"")</f>
        <v/>
      </c>
      <c r="AH23" s="28" t="str">
        <f aca="false">IF($Y23=1,$AB23*$U23/$I23,"")</f>
        <v/>
      </c>
      <c r="AI23" s="18" t="str">
        <f aca="false">IF($Y23=1,IF(AND(Paramètres!$B$4="EFFECTIVE",$W23="CH",$AB23&gt;0),1,0),"")</f>
        <v/>
      </c>
      <c r="AJ23" s="28" t="str">
        <f aca="false">IF($Y23=1,IF($X23&lt;&gt;"CH",($AG23+$AE23+$AF23)*Paramètres!$B$14,0),"")</f>
        <v/>
      </c>
      <c r="AK23" s="29" t="str">
        <f aca="false">IF($Y23=1,$AG23+IF($AI23=1,0,$AH23)+$AE23+$AF23+IF(Paramètres!$B$4="NOT_REGISTERED",$AJ23,0),"")</f>
        <v/>
      </c>
      <c r="AL23" s="27" t="str">
        <f aca="false">IF($Y23=1,($AK23+Paramètres!$B$7+Paramètres!$B$8+Paramètres!$B$9+Paramètres!$B$10)/((1-Paramètres!$B$11)/(1+Paramètres!$B$5)-Paramètres!$B$6),"")</f>
        <v/>
      </c>
      <c r="AM23" s="26" t="str">
        <f aca="false">IF(AND($Y23=1,ISNUMBER($R23)),IF($R23&gt;0,$AL23/$R23-1,""),"")</f>
        <v/>
      </c>
      <c r="AN23" s="27" t="str">
        <f aca="false">IF(AND($Y23=1,ISNUMBER($R23)),IF($R23&gt;0,$R23/(1+Paramètres!$B$5)-$AK23-($R23*Paramètres!$B$6+Paramètres!$B$7)-Paramètres!$B$8-Paramètres!$B$9-Paramètres!$B$10,""),"")</f>
        <v/>
      </c>
      <c r="AO23" s="26" t="str">
        <f aca="false">IF(ISNUMBER($AN23),$AN23/($R23/(1+Paramètres!$B$5)),"")</f>
        <v/>
      </c>
      <c r="AP23" s="30" t="str">
        <f aca="false">IF($A23="","",IF($Y23&lt;&gt;1,"INCOMPLET",IF(NOT(ISNUMBER($AM23)),"SANS RÉF. MARCHÉ",IF($AM23&lt;=Paramètres!$B$12,"OK",IF(AND($AO23&gt;=Paramètres!$B$15,$AN23&gt;=Paramètres!$B$16),"À REVOIR","NON RENTABLE")))))</f>
        <v>INCOMPLET</v>
      </c>
      <c r="AQ23" s="18" t="str">
        <f aca="false">TRIM(IF(AND($Y23=1,ISNUMBER($N23)),IF($M23&lt;$N23,"MOQ ",""),"")&amp;IF(AND($Y23=1,ISNUMBER($O23)),IF($O23&lt;$I23*$M23,"DISPO ",""),"")&amp;IF($S23="O","FICTIF ","")&amp;IF($Y23=1,IF(AND($K23="TTC",$W23&lt;&gt;"CH"),"TVA-ÉTRANGÈRE ",""),""))</f>
        <v/>
      </c>
      <c r="AR23" s="18" t="str">
        <f aca="false">IF($Y23=1,COUNTIFS($A$6:$A$205,$A23,$AK$6:$AK$205,"&lt;"&amp;$AK23,$Y$6:$Y$205,1)+1,"")</f>
        <v/>
      </c>
      <c r="AS23" s="18" t="str">
        <f aca="false">IF(ISNUMBER($AR23),$A23&amp;"|"&amp;$AR23,"")</f>
        <v/>
      </c>
      <c r="AT23" s="27" t="str">
        <f aca="false">IF($Y23=1,$AK23*$I23*$M23,"")</f>
        <v/>
      </c>
    </row>
    <row r="24" customFormat="false" ht="15" hidden="false" customHeight="false" outlineLevel="0" collapsed="false">
      <c r="A24" s="9" t="s">
        <v>195</v>
      </c>
      <c r="B24" s="9" t="s">
        <v>196</v>
      </c>
      <c r="C24" s="9" t="s">
        <v>76</v>
      </c>
      <c r="D24" s="9"/>
      <c r="E24" s="9"/>
      <c r="F24" s="9"/>
      <c r="G24" s="9" t="s">
        <v>197</v>
      </c>
      <c r="H24" s="9" t="s">
        <v>155</v>
      </c>
      <c r="I24" s="9"/>
      <c r="J24" s="13"/>
      <c r="K24" s="9"/>
      <c r="L24" s="12"/>
      <c r="M24" s="9"/>
      <c r="N24" s="9"/>
      <c r="O24" s="9"/>
      <c r="P24" s="9"/>
      <c r="Q24" s="16"/>
      <c r="R24" s="13"/>
      <c r="S24" s="9" t="s">
        <v>78</v>
      </c>
      <c r="T24" s="18" t="n">
        <f aca="false">IF($C24="","",IFERROR(INDEX(Fournisseurs!$C$5:$C$24,MATCH($C24,Fournisseurs!$A$5:$A$24,0)),""))</f>
        <v>0</v>
      </c>
      <c r="U24" s="25" t="n">
        <f aca="false">IF($C24="","",IFERROR(INDEX(Fournisseurs!$D$5:$D$24,MATCH($C24,Fournisseurs!$A$5:$A$24,0)),""))</f>
        <v>0</v>
      </c>
      <c r="V24" s="26" t="n">
        <f aca="false">IF($C24="","",IFERROR(INDEX(Fournisseurs!$G$5:$G$24,MATCH($C24,Fournisseurs!$A$5:$A$24,0)),""))</f>
        <v>0</v>
      </c>
      <c r="W24" s="18" t="n">
        <f aca="false">IF($C24="","",IFERROR(INDEX(Fournisseurs!$H$5:$H$24,MATCH($C24,Fournisseurs!$A$5:$A$24,0)),""))</f>
        <v>0</v>
      </c>
      <c r="X24" s="18" t="n">
        <f aca="false">IF($C24="","",IFERROR(INDEX(Fournisseurs!$B$5:$B$24,MATCH($C24,Fournisseurs!$A$5:$A$24,0)),""))</f>
        <v>0</v>
      </c>
      <c r="Y24" s="18" t="n">
        <f aca="false">IF($A24="","",IF(AND($A24&lt;&gt;"",$C24&lt;&gt;"",ISNUMBER($I24),ISNUMBER($J24),ISNUMBER($M24)),IF(AND($I24&gt;=1,$J24&gt;0,OR($K24="HT",$K24="TTC"),$M24&gt;=1,IFERROR(INDEX(Fournisseurs!$T$5:$T$24,MATCH($C24,Fournisseurs!$A$5:$A$24,0)),0)=1),1,0),0))</f>
        <v>0</v>
      </c>
      <c r="Z24" s="27" t="str">
        <f aca="false">IF($Y24=1,$J24*(1-N($L24)),"")</f>
        <v/>
      </c>
      <c r="AA24" s="28" t="str">
        <f aca="false">IF($Y24=1,IF($K24="TTC",$Z24/(1+$V24),$Z24),"")</f>
        <v/>
      </c>
      <c r="AB24" s="28" t="str">
        <f aca="false">IF($Y24=1,IF($K24="TTC",$Z24-$AA24,$AA24*$V24),"")</f>
        <v/>
      </c>
      <c r="AC24" s="27" t="str">
        <f aca="false">IF($Y24=1,$AA24*$U24*$M24,"")</f>
        <v/>
      </c>
      <c r="AD24" s="26" t="str">
        <f aca="false">IF($Y24=1,$AC24/SUMIFS($AC$6:$AC$205,$C$6:$C$205,$C24,$Y$6:$Y$205,1),"")</f>
        <v/>
      </c>
      <c r="AE24" s="28" t="str">
        <f aca="false">IF($Y24=1,(INDEX(Fournisseurs!$J$5:$J$24,MATCH($C24,Fournisseurs!$A$5:$A$24,0))+INDEX(Fournisseurs!$K$5:$K$24,MATCH($C24,Fournisseurs!$A$5:$A$24,0)))*$U24*$AD24/($I24*$M24),"")</f>
        <v/>
      </c>
      <c r="AF24" s="28" t="str">
        <f aca="false">IF($Y24=1,INDEX(Fournisseurs!$L$5:$L$24,MATCH($C24,Fournisseurs!$A$5:$A$24,0))*$AD24/($I24*$M24),"")</f>
        <v/>
      </c>
      <c r="AG24" s="28" t="str">
        <f aca="false">IF($Y24=1,$AA24*$U24/$I24,"")</f>
        <v/>
      </c>
      <c r="AH24" s="28" t="str">
        <f aca="false">IF($Y24=1,$AB24*$U24/$I24,"")</f>
        <v/>
      </c>
      <c r="AI24" s="18" t="str">
        <f aca="false">IF($Y24=1,IF(AND(Paramètres!$B$4="EFFECTIVE",$W24="CH",$AB24&gt;0),1,0),"")</f>
        <v/>
      </c>
      <c r="AJ24" s="28" t="str">
        <f aca="false">IF($Y24=1,IF($X24&lt;&gt;"CH",($AG24+$AE24+$AF24)*Paramètres!$B$14,0),"")</f>
        <v/>
      </c>
      <c r="AK24" s="29" t="str">
        <f aca="false">IF($Y24=1,$AG24+IF($AI24=1,0,$AH24)+$AE24+$AF24+IF(Paramètres!$B$4="NOT_REGISTERED",$AJ24,0),"")</f>
        <v/>
      </c>
      <c r="AL24" s="27" t="str">
        <f aca="false">IF($Y24=1,($AK24+Paramètres!$B$7+Paramètres!$B$8+Paramètres!$B$9+Paramètres!$B$10)/((1-Paramètres!$B$11)/(1+Paramètres!$B$5)-Paramètres!$B$6),"")</f>
        <v/>
      </c>
      <c r="AM24" s="26" t="str">
        <f aca="false">IF(AND($Y24=1,ISNUMBER($R24)),IF($R24&gt;0,$AL24/$R24-1,""),"")</f>
        <v/>
      </c>
      <c r="AN24" s="27" t="str">
        <f aca="false">IF(AND($Y24=1,ISNUMBER($R24)),IF($R24&gt;0,$R24/(1+Paramètres!$B$5)-$AK24-($R24*Paramètres!$B$6+Paramètres!$B$7)-Paramètres!$B$8-Paramètres!$B$9-Paramètres!$B$10,""),"")</f>
        <v/>
      </c>
      <c r="AO24" s="26" t="str">
        <f aca="false">IF(ISNUMBER($AN24),$AN24/($R24/(1+Paramètres!$B$5)),"")</f>
        <v/>
      </c>
      <c r="AP24" s="30" t="str">
        <f aca="false">IF($A24="","",IF($Y24&lt;&gt;1,"INCOMPLET",IF(NOT(ISNUMBER($AM24)),"SANS RÉF. MARCHÉ",IF($AM24&lt;=Paramètres!$B$12,"OK",IF(AND($AO24&gt;=Paramètres!$B$15,$AN24&gt;=Paramètres!$B$16),"À REVOIR","NON RENTABLE")))))</f>
        <v>INCOMPLET</v>
      </c>
      <c r="AQ24" s="18" t="str">
        <f aca="false">TRIM(IF(AND($Y24=1,ISNUMBER($N24)),IF($M24&lt;$N24,"MOQ ",""),"")&amp;IF(AND($Y24=1,ISNUMBER($O24)),IF($O24&lt;$I24*$M24,"DISPO ",""),"")&amp;IF($S24="O","FICTIF ","")&amp;IF($Y24=1,IF(AND($K24="TTC",$W24&lt;&gt;"CH"),"TVA-ÉTRANGÈRE ",""),""))</f>
        <v/>
      </c>
      <c r="AR24" s="18" t="str">
        <f aca="false">IF($Y24=1,COUNTIFS($A$6:$A$205,$A24,$AK$6:$AK$205,"&lt;"&amp;$AK24,$Y$6:$Y$205,1)+1,"")</f>
        <v/>
      </c>
      <c r="AS24" s="18" t="str">
        <f aca="false">IF(ISNUMBER($AR24),$A24&amp;"|"&amp;$AR24,"")</f>
        <v/>
      </c>
      <c r="AT24" s="27" t="str">
        <f aca="false">IF($Y24=1,$AK24*$I24*$M24,"")</f>
        <v/>
      </c>
    </row>
    <row r="25" customFormat="false" ht="15" hidden="false" customHeight="false" outlineLevel="0" collapsed="false">
      <c r="A25" s="9" t="s">
        <v>198</v>
      </c>
      <c r="B25" s="9" t="s">
        <v>199</v>
      </c>
      <c r="C25" s="9" t="s">
        <v>76</v>
      </c>
      <c r="D25" s="9"/>
      <c r="E25" s="9"/>
      <c r="F25" s="9"/>
      <c r="G25" s="9" t="s">
        <v>197</v>
      </c>
      <c r="H25" s="9" t="s">
        <v>148</v>
      </c>
      <c r="I25" s="9"/>
      <c r="J25" s="13"/>
      <c r="K25" s="9"/>
      <c r="L25" s="12"/>
      <c r="M25" s="9"/>
      <c r="N25" s="9"/>
      <c r="O25" s="9"/>
      <c r="P25" s="9"/>
      <c r="Q25" s="16"/>
      <c r="R25" s="13"/>
      <c r="S25" s="9" t="s">
        <v>78</v>
      </c>
      <c r="T25" s="18" t="n">
        <f aca="false">IF($C25="","",IFERROR(INDEX(Fournisseurs!$C$5:$C$24,MATCH($C25,Fournisseurs!$A$5:$A$24,0)),""))</f>
        <v>0</v>
      </c>
      <c r="U25" s="25" t="n">
        <f aca="false">IF($C25="","",IFERROR(INDEX(Fournisseurs!$D$5:$D$24,MATCH($C25,Fournisseurs!$A$5:$A$24,0)),""))</f>
        <v>0</v>
      </c>
      <c r="V25" s="26" t="n">
        <f aca="false">IF($C25="","",IFERROR(INDEX(Fournisseurs!$G$5:$G$24,MATCH($C25,Fournisseurs!$A$5:$A$24,0)),""))</f>
        <v>0</v>
      </c>
      <c r="W25" s="18" t="n">
        <f aca="false">IF($C25="","",IFERROR(INDEX(Fournisseurs!$H$5:$H$24,MATCH($C25,Fournisseurs!$A$5:$A$24,0)),""))</f>
        <v>0</v>
      </c>
      <c r="X25" s="18" t="n">
        <f aca="false">IF($C25="","",IFERROR(INDEX(Fournisseurs!$B$5:$B$24,MATCH($C25,Fournisseurs!$A$5:$A$24,0)),""))</f>
        <v>0</v>
      </c>
      <c r="Y25" s="18" t="n">
        <f aca="false">IF($A25="","",IF(AND($A25&lt;&gt;"",$C25&lt;&gt;"",ISNUMBER($I25),ISNUMBER($J25),ISNUMBER($M25)),IF(AND($I25&gt;=1,$J25&gt;0,OR($K25="HT",$K25="TTC"),$M25&gt;=1,IFERROR(INDEX(Fournisseurs!$T$5:$T$24,MATCH($C25,Fournisseurs!$A$5:$A$24,0)),0)=1),1,0),0))</f>
        <v>0</v>
      </c>
      <c r="Z25" s="27" t="str">
        <f aca="false">IF($Y25=1,$J25*(1-N($L25)),"")</f>
        <v/>
      </c>
      <c r="AA25" s="28" t="str">
        <f aca="false">IF($Y25=1,IF($K25="TTC",$Z25/(1+$V25),$Z25),"")</f>
        <v/>
      </c>
      <c r="AB25" s="28" t="str">
        <f aca="false">IF($Y25=1,IF($K25="TTC",$Z25-$AA25,$AA25*$V25),"")</f>
        <v/>
      </c>
      <c r="AC25" s="27" t="str">
        <f aca="false">IF($Y25=1,$AA25*$U25*$M25,"")</f>
        <v/>
      </c>
      <c r="AD25" s="26" t="str">
        <f aca="false">IF($Y25=1,$AC25/SUMIFS($AC$6:$AC$205,$C$6:$C$205,$C25,$Y$6:$Y$205,1),"")</f>
        <v/>
      </c>
      <c r="AE25" s="28" t="str">
        <f aca="false">IF($Y25=1,(INDEX(Fournisseurs!$J$5:$J$24,MATCH($C25,Fournisseurs!$A$5:$A$24,0))+INDEX(Fournisseurs!$K$5:$K$24,MATCH($C25,Fournisseurs!$A$5:$A$24,0)))*$U25*$AD25/($I25*$M25),"")</f>
        <v/>
      </c>
      <c r="AF25" s="28" t="str">
        <f aca="false">IF($Y25=1,INDEX(Fournisseurs!$L$5:$L$24,MATCH($C25,Fournisseurs!$A$5:$A$24,0))*$AD25/($I25*$M25),"")</f>
        <v/>
      </c>
      <c r="AG25" s="28" t="str">
        <f aca="false">IF($Y25=1,$AA25*$U25/$I25,"")</f>
        <v/>
      </c>
      <c r="AH25" s="28" t="str">
        <f aca="false">IF($Y25=1,$AB25*$U25/$I25,"")</f>
        <v/>
      </c>
      <c r="AI25" s="18" t="str">
        <f aca="false">IF($Y25=1,IF(AND(Paramètres!$B$4="EFFECTIVE",$W25="CH",$AB25&gt;0),1,0),"")</f>
        <v/>
      </c>
      <c r="AJ25" s="28" t="str">
        <f aca="false">IF($Y25=1,IF($X25&lt;&gt;"CH",($AG25+$AE25+$AF25)*Paramètres!$B$14,0),"")</f>
        <v/>
      </c>
      <c r="AK25" s="29" t="str">
        <f aca="false">IF($Y25=1,$AG25+IF($AI25=1,0,$AH25)+$AE25+$AF25+IF(Paramètres!$B$4="NOT_REGISTERED",$AJ25,0),"")</f>
        <v/>
      </c>
      <c r="AL25" s="27" t="str">
        <f aca="false">IF($Y25=1,($AK25+Paramètres!$B$7+Paramètres!$B$8+Paramètres!$B$9+Paramètres!$B$10)/((1-Paramètres!$B$11)/(1+Paramètres!$B$5)-Paramètres!$B$6),"")</f>
        <v/>
      </c>
      <c r="AM25" s="26" t="str">
        <f aca="false">IF(AND($Y25=1,ISNUMBER($R25)),IF($R25&gt;0,$AL25/$R25-1,""),"")</f>
        <v/>
      </c>
      <c r="AN25" s="27" t="str">
        <f aca="false">IF(AND($Y25=1,ISNUMBER($R25)),IF($R25&gt;0,$R25/(1+Paramètres!$B$5)-$AK25-($R25*Paramètres!$B$6+Paramètres!$B$7)-Paramètres!$B$8-Paramètres!$B$9-Paramètres!$B$10,""),"")</f>
        <v/>
      </c>
      <c r="AO25" s="26" t="str">
        <f aca="false">IF(ISNUMBER($AN25),$AN25/($R25/(1+Paramètres!$B$5)),"")</f>
        <v/>
      </c>
      <c r="AP25" s="30" t="str">
        <f aca="false">IF($A25="","",IF($Y25&lt;&gt;1,"INCOMPLET",IF(NOT(ISNUMBER($AM25)),"SANS RÉF. MARCHÉ",IF($AM25&lt;=Paramètres!$B$12,"OK",IF(AND($AO25&gt;=Paramètres!$B$15,$AN25&gt;=Paramètres!$B$16),"À REVOIR","NON RENTABLE")))))</f>
        <v>INCOMPLET</v>
      </c>
      <c r="AQ25" s="18" t="str">
        <f aca="false">TRIM(IF(AND($Y25=1,ISNUMBER($N25)),IF($M25&lt;$N25,"MOQ ",""),"")&amp;IF(AND($Y25=1,ISNUMBER($O25)),IF($O25&lt;$I25*$M25,"DISPO ",""),"")&amp;IF($S25="O","FICTIF ","")&amp;IF($Y25=1,IF(AND($K25="TTC",$W25&lt;&gt;"CH"),"TVA-ÉTRANGÈRE ",""),""))</f>
        <v/>
      </c>
      <c r="AR25" s="18" t="str">
        <f aca="false">IF($Y25=1,COUNTIFS($A$6:$A$205,$A25,$AK$6:$AK$205,"&lt;"&amp;$AK25,$Y$6:$Y$205,1)+1,"")</f>
        <v/>
      </c>
      <c r="AS25" s="18" t="str">
        <f aca="false">IF(ISNUMBER($AR25),$A25&amp;"|"&amp;$AR25,"")</f>
        <v/>
      </c>
      <c r="AT25" s="27" t="str">
        <f aca="false">IF($Y25=1,$AK25*$I25*$M25,"")</f>
        <v/>
      </c>
    </row>
    <row r="26" customFormat="false" ht="15" hidden="false" customHeight="false" outlineLevel="0" collapsed="false">
      <c r="A26" s="9" t="s">
        <v>200</v>
      </c>
      <c r="B26" s="9" t="s">
        <v>201</v>
      </c>
      <c r="C26" s="9" t="s">
        <v>76</v>
      </c>
      <c r="D26" s="9"/>
      <c r="E26" s="9"/>
      <c r="F26" s="9"/>
      <c r="G26" s="9" t="s">
        <v>197</v>
      </c>
      <c r="H26" s="9" t="s">
        <v>172</v>
      </c>
      <c r="I26" s="9"/>
      <c r="J26" s="13"/>
      <c r="K26" s="9"/>
      <c r="L26" s="12"/>
      <c r="M26" s="9"/>
      <c r="N26" s="9"/>
      <c r="O26" s="9"/>
      <c r="P26" s="9"/>
      <c r="Q26" s="16"/>
      <c r="R26" s="13"/>
      <c r="S26" s="9" t="s">
        <v>78</v>
      </c>
      <c r="T26" s="18" t="n">
        <f aca="false">IF($C26="","",IFERROR(INDEX(Fournisseurs!$C$5:$C$24,MATCH($C26,Fournisseurs!$A$5:$A$24,0)),""))</f>
        <v>0</v>
      </c>
      <c r="U26" s="25" t="n">
        <f aca="false">IF($C26="","",IFERROR(INDEX(Fournisseurs!$D$5:$D$24,MATCH($C26,Fournisseurs!$A$5:$A$24,0)),""))</f>
        <v>0</v>
      </c>
      <c r="V26" s="26" t="n">
        <f aca="false">IF($C26="","",IFERROR(INDEX(Fournisseurs!$G$5:$G$24,MATCH($C26,Fournisseurs!$A$5:$A$24,0)),""))</f>
        <v>0</v>
      </c>
      <c r="W26" s="18" t="n">
        <f aca="false">IF($C26="","",IFERROR(INDEX(Fournisseurs!$H$5:$H$24,MATCH($C26,Fournisseurs!$A$5:$A$24,0)),""))</f>
        <v>0</v>
      </c>
      <c r="X26" s="18" t="n">
        <f aca="false">IF($C26="","",IFERROR(INDEX(Fournisseurs!$B$5:$B$24,MATCH($C26,Fournisseurs!$A$5:$A$24,0)),""))</f>
        <v>0</v>
      </c>
      <c r="Y26" s="18" t="n">
        <f aca="false">IF($A26="","",IF(AND($A26&lt;&gt;"",$C26&lt;&gt;"",ISNUMBER($I26),ISNUMBER($J26),ISNUMBER($M26)),IF(AND($I26&gt;=1,$J26&gt;0,OR($K26="HT",$K26="TTC"),$M26&gt;=1,IFERROR(INDEX(Fournisseurs!$T$5:$T$24,MATCH($C26,Fournisseurs!$A$5:$A$24,0)),0)=1),1,0),0))</f>
        <v>0</v>
      </c>
      <c r="Z26" s="27" t="str">
        <f aca="false">IF($Y26=1,$J26*(1-N($L26)),"")</f>
        <v/>
      </c>
      <c r="AA26" s="28" t="str">
        <f aca="false">IF($Y26=1,IF($K26="TTC",$Z26/(1+$V26),$Z26),"")</f>
        <v/>
      </c>
      <c r="AB26" s="28" t="str">
        <f aca="false">IF($Y26=1,IF($K26="TTC",$Z26-$AA26,$AA26*$V26),"")</f>
        <v/>
      </c>
      <c r="AC26" s="27" t="str">
        <f aca="false">IF($Y26=1,$AA26*$U26*$M26,"")</f>
        <v/>
      </c>
      <c r="AD26" s="26" t="str">
        <f aca="false">IF($Y26=1,$AC26/SUMIFS($AC$6:$AC$205,$C$6:$C$205,$C26,$Y$6:$Y$205,1),"")</f>
        <v/>
      </c>
      <c r="AE26" s="28" t="str">
        <f aca="false">IF($Y26=1,(INDEX(Fournisseurs!$J$5:$J$24,MATCH($C26,Fournisseurs!$A$5:$A$24,0))+INDEX(Fournisseurs!$K$5:$K$24,MATCH($C26,Fournisseurs!$A$5:$A$24,0)))*$U26*$AD26/($I26*$M26),"")</f>
        <v/>
      </c>
      <c r="AF26" s="28" t="str">
        <f aca="false">IF($Y26=1,INDEX(Fournisseurs!$L$5:$L$24,MATCH($C26,Fournisseurs!$A$5:$A$24,0))*$AD26/($I26*$M26),"")</f>
        <v/>
      </c>
      <c r="AG26" s="28" t="str">
        <f aca="false">IF($Y26=1,$AA26*$U26/$I26,"")</f>
        <v/>
      </c>
      <c r="AH26" s="28" t="str">
        <f aca="false">IF($Y26=1,$AB26*$U26/$I26,"")</f>
        <v/>
      </c>
      <c r="AI26" s="18" t="str">
        <f aca="false">IF($Y26=1,IF(AND(Paramètres!$B$4="EFFECTIVE",$W26="CH",$AB26&gt;0),1,0),"")</f>
        <v/>
      </c>
      <c r="AJ26" s="28" t="str">
        <f aca="false">IF($Y26=1,IF($X26&lt;&gt;"CH",($AG26+$AE26+$AF26)*Paramètres!$B$14,0),"")</f>
        <v/>
      </c>
      <c r="AK26" s="29" t="str">
        <f aca="false">IF($Y26=1,$AG26+IF($AI26=1,0,$AH26)+$AE26+$AF26+IF(Paramètres!$B$4="NOT_REGISTERED",$AJ26,0),"")</f>
        <v/>
      </c>
      <c r="AL26" s="27" t="str">
        <f aca="false">IF($Y26=1,($AK26+Paramètres!$B$7+Paramètres!$B$8+Paramètres!$B$9+Paramètres!$B$10)/((1-Paramètres!$B$11)/(1+Paramètres!$B$5)-Paramètres!$B$6),"")</f>
        <v/>
      </c>
      <c r="AM26" s="26" t="str">
        <f aca="false">IF(AND($Y26=1,ISNUMBER($R26)),IF($R26&gt;0,$AL26/$R26-1,""),"")</f>
        <v/>
      </c>
      <c r="AN26" s="27" t="str">
        <f aca="false">IF(AND($Y26=1,ISNUMBER($R26)),IF($R26&gt;0,$R26/(1+Paramètres!$B$5)-$AK26-($R26*Paramètres!$B$6+Paramètres!$B$7)-Paramètres!$B$8-Paramètres!$B$9-Paramètres!$B$10,""),"")</f>
        <v/>
      </c>
      <c r="AO26" s="26" t="str">
        <f aca="false">IF(ISNUMBER($AN26),$AN26/($R26/(1+Paramètres!$B$5)),"")</f>
        <v/>
      </c>
      <c r="AP26" s="30" t="str">
        <f aca="false">IF($A26="","",IF($Y26&lt;&gt;1,"INCOMPLET",IF(NOT(ISNUMBER($AM26)),"SANS RÉF. MARCHÉ",IF($AM26&lt;=Paramètres!$B$12,"OK",IF(AND($AO26&gt;=Paramètres!$B$15,$AN26&gt;=Paramètres!$B$16),"À REVOIR","NON RENTABLE")))))</f>
        <v>INCOMPLET</v>
      </c>
      <c r="AQ26" s="18" t="str">
        <f aca="false">TRIM(IF(AND($Y26=1,ISNUMBER($N26)),IF($M26&lt;$N26,"MOQ ",""),"")&amp;IF(AND($Y26=1,ISNUMBER($O26)),IF($O26&lt;$I26*$M26,"DISPO ",""),"")&amp;IF($S26="O","FICTIF ","")&amp;IF($Y26=1,IF(AND($K26="TTC",$W26&lt;&gt;"CH"),"TVA-ÉTRANGÈRE ",""),""))</f>
        <v/>
      </c>
      <c r="AR26" s="18" t="str">
        <f aca="false">IF($Y26=1,COUNTIFS($A$6:$A$205,$A26,$AK$6:$AK$205,"&lt;"&amp;$AK26,$Y$6:$Y$205,1)+1,"")</f>
        <v/>
      </c>
      <c r="AS26" s="18" t="str">
        <f aca="false">IF(ISNUMBER($AR26),$A26&amp;"|"&amp;$AR26,"")</f>
        <v/>
      </c>
      <c r="AT26" s="27" t="str">
        <f aca="false">IF($Y26=1,$AK26*$I26*$M26,"")</f>
        <v/>
      </c>
    </row>
    <row r="27" customFormat="false" ht="15" hidden="false" customHeight="false" outlineLevel="0" collapsed="false">
      <c r="A27" s="9" t="s">
        <v>202</v>
      </c>
      <c r="B27" s="9" t="s">
        <v>203</v>
      </c>
      <c r="C27" s="9" t="s">
        <v>76</v>
      </c>
      <c r="D27" s="9"/>
      <c r="E27" s="9"/>
      <c r="F27" s="9"/>
      <c r="G27" s="9"/>
      <c r="H27" s="9" t="s">
        <v>183</v>
      </c>
      <c r="I27" s="9"/>
      <c r="J27" s="13"/>
      <c r="K27" s="9"/>
      <c r="L27" s="12"/>
      <c r="M27" s="9"/>
      <c r="N27" s="9"/>
      <c r="O27" s="9"/>
      <c r="P27" s="9"/>
      <c r="Q27" s="16"/>
      <c r="R27" s="13"/>
      <c r="S27" s="9" t="s">
        <v>78</v>
      </c>
      <c r="T27" s="18" t="n">
        <f aca="false">IF($C27="","",IFERROR(INDEX(Fournisseurs!$C$5:$C$24,MATCH($C27,Fournisseurs!$A$5:$A$24,0)),""))</f>
        <v>0</v>
      </c>
      <c r="U27" s="25" t="n">
        <f aca="false">IF($C27="","",IFERROR(INDEX(Fournisseurs!$D$5:$D$24,MATCH($C27,Fournisseurs!$A$5:$A$24,0)),""))</f>
        <v>0</v>
      </c>
      <c r="V27" s="26" t="n">
        <f aca="false">IF($C27="","",IFERROR(INDEX(Fournisseurs!$G$5:$G$24,MATCH($C27,Fournisseurs!$A$5:$A$24,0)),""))</f>
        <v>0</v>
      </c>
      <c r="W27" s="18" t="n">
        <f aca="false">IF($C27="","",IFERROR(INDEX(Fournisseurs!$H$5:$H$24,MATCH($C27,Fournisseurs!$A$5:$A$24,0)),""))</f>
        <v>0</v>
      </c>
      <c r="X27" s="18" t="n">
        <f aca="false">IF($C27="","",IFERROR(INDEX(Fournisseurs!$B$5:$B$24,MATCH($C27,Fournisseurs!$A$5:$A$24,0)),""))</f>
        <v>0</v>
      </c>
      <c r="Y27" s="18" t="n">
        <f aca="false">IF($A27="","",IF(AND($A27&lt;&gt;"",$C27&lt;&gt;"",ISNUMBER($I27),ISNUMBER($J27),ISNUMBER($M27)),IF(AND($I27&gt;=1,$J27&gt;0,OR($K27="HT",$K27="TTC"),$M27&gt;=1,IFERROR(INDEX(Fournisseurs!$T$5:$T$24,MATCH($C27,Fournisseurs!$A$5:$A$24,0)),0)=1),1,0),0))</f>
        <v>0</v>
      </c>
      <c r="Z27" s="27" t="str">
        <f aca="false">IF($Y27=1,$J27*(1-N($L27)),"")</f>
        <v/>
      </c>
      <c r="AA27" s="28" t="str">
        <f aca="false">IF($Y27=1,IF($K27="TTC",$Z27/(1+$V27),$Z27),"")</f>
        <v/>
      </c>
      <c r="AB27" s="28" t="str">
        <f aca="false">IF($Y27=1,IF($K27="TTC",$Z27-$AA27,$AA27*$V27),"")</f>
        <v/>
      </c>
      <c r="AC27" s="27" t="str">
        <f aca="false">IF($Y27=1,$AA27*$U27*$M27,"")</f>
        <v/>
      </c>
      <c r="AD27" s="26" t="str">
        <f aca="false">IF($Y27=1,$AC27/SUMIFS($AC$6:$AC$205,$C$6:$C$205,$C27,$Y$6:$Y$205,1),"")</f>
        <v/>
      </c>
      <c r="AE27" s="28" t="str">
        <f aca="false">IF($Y27=1,(INDEX(Fournisseurs!$J$5:$J$24,MATCH($C27,Fournisseurs!$A$5:$A$24,0))+INDEX(Fournisseurs!$K$5:$K$24,MATCH($C27,Fournisseurs!$A$5:$A$24,0)))*$U27*$AD27/($I27*$M27),"")</f>
        <v/>
      </c>
      <c r="AF27" s="28" t="str">
        <f aca="false">IF($Y27=1,INDEX(Fournisseurs!$L$5:$L$24,MATCH($C27,Fournisseurs!$A$5:$A$24,0))*$AD27/($I27*$M27),"")</f>
        <v/>
      </c>
      <c r="AG27" s="28" t="str">
        <f aca="false">IF($Y27=1,$AA27*$U27/$I27,"")</f>
        <v/>
      </c>
      <c r="AH27" s="28" t="str">
        <f aca="false">IF($Y27=1,$AB27*$U27/$I27,"")</f>
        <v/>
      </c>
      <c r="AI27" s="18" t="str">
        <f aca="false">IF($Y27=1,IF(AND(Paramètres!$B$4="EFFECTIVE",$W27="CH",$AB27&gt;0),1,0),"")</f>
        <v/>
      </c>
      <c r="AJ27" s="28" t="str">
        <f aca="false">IF($Y27=1,IF($X27&lt;&gt;"CH",($AG27+$AE27+$AF27)*Paramètres!$B$14,0),"")</f>
        <v/>
      </c>
      <c r="AK27" s="29" t="str">
        <f aca="false">IF($Y27=1,$AG27+IF($AI27=1,0,$AH27)+$AE27+$AF27+IF(Paramètres!$B$4="NOT_REGISTERED",$AJ27,0),"")</f>
        <v/>
      </c>
      <c r="AL27" s="27" t="str">
        <f aca="false">IF($Y27=1,($AK27+Paramètres!$B$7+Paramètres!$B$8+Paramètres!$B$9+Paramètres!$B$10)/((1-Paramètres!$B$11)/(1+Paramètres!$B$5)-Paramètres!$B$6),"")</f>
        <v/>
      </c>
      <c r="AM27" s="26" t="str">
        <f aca="false">IF(AND($Y27=1,ISNUMBER($R27)),IF($R27&gt;0,$AL27/$R27-1,""),"")</f>
        <v/>
      </c>
      <c r="AN27" s="27" t="str">
        <f aca="false">IF(AND($Y27=1,ISNUMBER($R27)),IF($R27&gt;0,$R27/(1+Paramètres!$B$5)-$AK27-($R27*Paramètres!$B$6+Paramètres!$B$7)-Paramètres!$B$8-Paramètres!$B$9-Paramètres!$B$10,""),"")</f>
        <v/>
      </c>
      <c r="AO27" s="26" t="str">
        <f aca="false">IF(ISNUMBER($AN27),$AN27/($R27/(1+Paramètres!$B$5)),"")</f>
        <v/>
      </c>
      <c r="AP27" s="30" t="str">
        <f aca="false">IF($A27="","",IF($Y27&lt;&gt;1,"INCOMPLET",IF(NOT(ISNUMBER($AM27)),"SANS RÉF. MARCHÉ",IF($AM27&lt;=Paramètres!$B$12,"OK",IF(AND($AO27&gt;=Paramètres!$B$15,$AN27&gt;=Paramètres!$B$16),"À REVOIR","NON RENTABLE")))))</f>
        <v>INCOMPLET</v>
      </c>
      <c r="AQ27" s="18" t="str">
        <f aca="false">TRIM(IF(AND($Y27=1,ISNUMBER($N27)),IF($M27&lt;$N27,"MOQ ",""),"")&amp;IF(AND($Y27=1,ISNUMBER($O27)),IF($O27&lt;$I27*$M27,"DISPO ",""),"")&amp;IF($S27="O","FICTIF ","")&amp;IF($Y27=1,IF(AND($K27="TTC",$W27&lt;&gt;"CH"),"TVA-ÉTRANGÈRE ",""),""))</f>
        <v/>
      </c>
      <c r="AR27" s="18" t="str">
        <f aca="false">IF($Y27=1,COUNTIFS($A$6:$A$205,$A27,$AK$6:$AK$205,"&lt;"&amp;$AK27,$Y$6:$Y$205,1)+1,"")</f>
        <v/>
      </c>
      <c r="AS27" s="18" t="str">
        <f aca="false">IF(ISNUMBER($AR27),$A27&amp;"|"&amp;$AR27,"")</f>
        <v/>
      </c>
      <c r="AT27" s="27" t="str">
        <f aca="false">IF($Y27=1,$AK27*$I27*$M27,"")</f>
        <v/>
      </c>
    </row>
    <row r="28" customFormat="false" ht="15" hidden="false" customHeight="false" outlineLevel="0" collapsed="false">
      <c r="A28" s="9" t="s">
        <v>152</v>
      </c>
      <c r="B28" s="9" t="s">
        <v>153</v>
      </c>
      <c r="C28" s="9" t="s">
        <v>79</v>
      </c>
      <c r="D28" s="9"/>
      <c r="E28" s="9"/>
      <c r="F28" s="9"/>
      <c r="G28" s="9" t="s">
        <v>154</v>
      </c>
      <c r="H28" s="9" t="s">
        <v>155</v>
      </c>
      <c r="I28" s="9"/>
      <c r="J28" s="13"/>
      <c r="K28" s="9"/>
      <c r="L28" s="12"/>
      <c r="M28" s="9"/>
      <c r="N28" s="9"/>
      <c r="O28" s="9"/>
      <c r="P28" s="9"/>
      <c r="Q28" s="16"/>
      <c r="R28" s="13"/>
      <c r="S28" s="9" t="s">
        <v>78</v>
      </c>
      <c r="T28" s="18" t="n">
        <f aca="false">IF($C28="","",IFERROR(INDEX(Fournisseurs!$C$5:$C$24,MATCH($C28,Fournisseurs!$A$5:$A$24,0)),""))</f>
        <v>0</v>
      </c>
      <c r="U28" s="25" t="n">
        <f aca="false">IF($C28="","",IFERROR(INDEX(Fournisseurs!$D$5:$D$24,MATCH($C28,Fournisseurs!$A$5:$A$24,0)),""))</f>
        <v>0</v>
      </c>
      <c r="V28" s="26" t="n">
        <f aca="false">IF($C28="","",IFERROR(INDEX(Fournisseurs!$G$5:$G$24,MATCH($C28,Fournisseurs!$A$5:$A$24,0)),""))</f>
        <v>0</v>
      </c>
      <c r="W28" s="18" t="n">
        <f aca="false">IF($C28="","",IFERROR(INDEX(Fournisseurs!$H$5:$H$24,MATCH($C28,Fournisseurs!$A$5:$A$24,0)),""))</f>
        <v>0</v>
      </c>
      <c r="X28" s="18" t="n">
        <f aca="false">IF($C28="","",IFERROR(INDEX(Fournisseurs!$B$5:$B$24,MATCH($C28,Fournisseurs!$A$5:$A$24,0)),""))</f>
        <v>0</v>
      </c>
      <c r="Y28" s="18" t="n">
        <f aca="false">IF($A28="","",IF(AND($A28&lt;&gt;"",$C28&lt;&gt;"",ISNUMBER($I28),ISNUMBER($J28),ISNUMBER($M28)),IF(AND($I28&gt;=1,$J28&gt;0,OR($K28="HT",$K28="TTC"),$M28&gt;=1,IFERROR(INDEX(Fournisseurs!$T$5:$T$24,MATCH($C28,Fournisseurs!$A$5:$A$24,0)),0)=1),1,0),0))</f>
        <v>0</v>
      </c>
      <c r="Z28" s="27" t="str">
        <f aca="false">IF($Y28=1,$J28*(1-N($L28)),"")</f>
        <v/>
      </c>
      <c r="AA28" s="28" t="str">
        <f aca="false">IF($Y28=1,IF($K28="TTC",$Z28/(1+$V28),$Z28),"")</f>
        <v/>
      </c>
      <c r="AB28" s="28" t="str">
        <f aca="false">IF($Y28=1,IF($K28="TTC",$Z28-$AA28,$AA28*$V28),"")</f>
        <v/>
      </c>
      <c r="AC28" s="27" t="str">
        <f aca="false">IF($Y28=1,$AA28*$U28*$M28,"")</f>
        <v/>
      </c>
      <c r="AD28" s="26" t="str">
        <f aca="false">IF($Y28=1,$AC28/SUMIFS($AC$6:$AC$205,$C$6:$C$205,$C28,$Y$6:$Y$205,1),"")</f>
        <v/>
      </c>
      <c r="AE28" s="28" t="str">
        <f aca="false">IF($Y28=1,(INDEX(Fournisseurs!$J$5:$J$24,MATCH($C28,Fournisseurs!$A$5:$A$24,0))+INDEX(Fournisseurs!$K$5:$K$24,MATCH($C28,Fournisseurs!$A$5:$A$24,0)))*$U28*$AD28/($I28*$M28),"")</f>
        <v/>
      </c>
      <c r="AF28" s="28" t="str">
        <f aca="false">IF($Y28=1,INDEX(Fournisseurs!$L$5:$L$24,MATCH($C28,Fournisseurs!$A$5:$A$24,0))*$AD28/($I28*$M28),"")</f>
        <v/>
      </c>
      <c r="AG28" s="28" t="str">
        <f aca="false">IF($Y28=1,$AA28*$U28/$I28,"")</f>
        <v/>
      </c>
      <c r="AH28" s="28" t="str">
        <f aca="false">IF($Y28=1,$AB28*$U28/$I28,"")</f>
        <v/>
      </c>
      <c r="AI28" s="18" t="str">
        <f aca="false">IF($Y28=1,IF(AND(Paramètres!$B$4="EFFECTIVE",$W28="CH",$AB28&gt;0),1,0),"")</f>
        <v/>
      </c>
      <c r="AJ28" s="28" t="str">
        <f aca="false">IF($Y28=1,IF($X28&lt;&gt;"CH",($AG28+$AE28+$AF28)*Paramètres!$B$14,0),"")</f>
        <v/>
      </c>
      <c r="AK28" s="29" t="str">
        <f aca="false">IF($Y28=1,$AG28+IF($AI28=1,0,$AH28)+$AE28+$AF28+IF(Paramètres!$B$4="NOT_REGISTERED",$AJ28,0),"")</f>
        <v/>
      </c>
      <c r="AL28" s="27" t="str">
        <f aca="false">IF($Y28=1,($AK28+Paramètres!$B$7+Paramètres!$B$8+Paramètres!$B$9+Paramètres!$B$10)/((1-Paramètres!$B$11)/(1+Paramètres!$B$5)-Paramètres!$B$6),"")</f>
        <v/>
      </c>
      <c r="AM28" s="26" t="str">
        <f aca="false">IF(AND($Y28=1,ISNUMBER($R28)),IF($R28&gt;0,$AL28/$R28-1,""),"")</f>
        <v/>
      </c>
      <c r="AN28" s="27" t="str">
        <f aca="false">IF(AND($Y28=1,ISNUMBER($R28)),IF($R28&gt;0,$R28/(1+Paramètres!$B$5)-$AK28-($R28*Paramètres!$B$6+Paramètres!$B$7)-Paramètres!$B$8-Paramètres!$B$9-Paramètres!$B$10,""),"")</f>
        <v/>
      </c>
      <c r="AO28" s="26" t="str">
        <f aca="false">IF(ISNUMBER($AN28),$AN28/($R28/(1+Paramètres!$B$5)),"")</f>
        <v/>
      </c>
      <c r="AP28" s="30" t="str">
        <f aca="false">IF($A28="","",IF($Y28&lt;&gt;1,"INCOMPLET",IF(NOT(ISNUMBER($AM28)),"SANS RÉF. MARCHÉ",IF($AM28&lt;=Paramètres!$B$12,"OK",IF(AND($AO28&gt;=Paramètres!$B$15,$AN28&gt;=Paramètres!$B$16),"À REVOIR","NON RENTABLE")))))</f>
        <v>INCOMPLET</v>
      </c>
      <c r="AQ28" s="18" t="str">
        <f aca="false">TRIM(IF(AND($Y28=1,ISNUMBER($N28)),IF($M28&lt;$N28,"MOQ ",""),"")&amp;IF(AND($Y28=1,ISNUMBER($O28)),IF($O28&lt;$I28*$M28,"DISPO ",""),"")&amp;IF($S28="O","FICTIF ","")&amp;IF($Y28=1,IF(AND($K28="TTC",$W28&lt;&gt;"CH"),"TVA-ÉTRANGÈRE ",""),""))</f>
        <v/>
      </c>
      <c r="AR28" s="18" t="str">
        <f aca="false">IF($Y28=1,COUNTIFS($A$6:$A$205,$A28,$AK$6:$AK$205,"&lt;"&amp;$AK28,$Y$6:$Y$205,1)+1,"")</f>
        <v/>
      </c>
      <c r="AS28" s="18" t="str">
        <f aca="false">IF(ISNUMBER($AR28),$A28&amp;"|"&amp;$AR28,"")</f>
        <v/>
      </c>
      <c r="AT28" s="27" t="str">
        <f aca="false">IF($Y28=1,$AK28*$I28*$M28,"")</f>
        <v/>
      </c>
    </row>
    <row r="29" customFormat="false" ht="15" hidden="false" customHeight="false" outlineLevel="0" collapsed="false">
      <c r="A29" s="9" t="s">
        <v>156</v>
      </c>
      <c r="B29" s="9" t="s">
        <v>157</v>
      </c>
      <c r="C29" s="9" t="s">
        <v>79</v>
      </c>
      <c r="D29" s="9"/>
      <c r="E29" s="9"/>
      <c r="F29" s="9"/>
      <c r="G29" s="9" t="s">
        <v>158</v>
      </c>
      <c r="H29" s="9" t="s">
        <v>155</v>
      </c>
      <c r="I29" s="9"/>
      <c r="J29" s="13"/>
      <c r="K29" s="9"/>
      <c r="L29" s="12"/>
      <c r="M29" s="9"/>
      <c r="N29" s="9"/>
      <c r="O29" s="9"/>
      <c r="P29" s="9"/>
      <c r="Q29" s="16"/>
      <c r="R29" s="13"/>
      <c r="S29" s="9" t="s">
        <v>78</v>
      </c>
      <c r="T29" s="18" t="n">
        <f aca="false">IF($C29="","",IFERROR(INDEX(Fournisseurs!$C$5:$C$24,MATCH($C29,Fournisseurs!$A$5:$A$24,0)),""))</f>
        <v>0</v>
      </c>
      <c r="U29" s="25" t="n">
        <f aca="false">IF($C29="","",IFERROR(INDEX(Fournisseurs!$D$5:$D$24,MATCH($C29,Fournisseurs!$A$5:$A$24,0)),""))</f>
        <v>0</v>
      </c>
      <c r="V29" s="26" t="n">
        <f aca="false">IF($C29="","",IFERROR(INDEX(Fournisseurs!$G$5:$G$24,MATCH($C29,Fournisseurs!$A$5:$A$24,0)),""))</f>
        <v>0</v>
      </c>
      <c r="W29" s="18" t="n">
        <f aca="false">IF($C29="","",IFERROR(INDEX(Fournisseurs!$H$5:$H$24,MATCH($C29,Fournisseurs!$A$5:$A$24,0)),""))</f>
        <v>0</v>
      </c>
      <c r="X29" s="18" t="n">
        <f aca="false">IF($C29="","",IFERROR(INDEX(Fournisseurs!$B$5:$B$24,MATCH($C29,Fournisseurs!$A$5:$A$24,0)),""))</f>
        <v>0</v>
      </c>
      <c r="Y29" s="18" t="n">
        <f aca="false">IF($A29="","",IF(AND($A29&lt;&gt;"",$C29&lt;&gt;"",ISNUMBER($I29),ISNUMBER($J29),ISNUMBER($M29)),IF(AND($I29&gt;=1,$J29&gt;0,OR($K29="HT",$K29="TTC"),$M29&gt;=1,IFERROR(INDEX(Fournisseurs!$T$5:$T$24,MATCH($C29,Fournisseurs!$A$5:$A$24,0)),0)=1),1,0),0))</f>
        <v>0</v>
      </c>
      <c r="Z29" s="27" t="str">
        <f aca="false">IF($Y29=1,$J29*(1-N($L29)),"")</f>
        <v/>
      </c>
      <c r="AA29" s="28" t="str">
        <f aca="false">IF($Y29=1,IF($K29="TTC",$Z29/(1+$V29),$Z29),"")</f>
        <v/>
      </c>
      <c r="AB29" s="28" t="str">
        <f aca="false">IF($Y29=1,IF($K29="TTC",$Z29-$AA29,$AA29*$V29),"")</f>
        <v/>
      </c>
      <c r="AC29" s="27" t="str">
        <f aca="false">IF($Y29=1,$AA29*$U29*$M29,"")</f>
        <v/>
      </c>
      <c r="AD29" s="26" t="str">
        <f aca="false">IF($Y29=1,$AC29/SUMIFS($AC$6:$AC$205,$C$6:$C$205,$C29,$Y$6:$Y$205,1),"")</f>
        <v/>
      </c>
      <c r="AE29" s="28" t="str">
        <f aca="false">IF($Y29=1,(INDEX(Fournisseurs!$J$5:$J$24,MATCH($C29,Fournisseurs!$A$5:$A$24,0))+INDEX(Fournisseurs!$K$5:$K$24,MATCH($C29,Fournisseurs!$A$5:$A$24,0)))*$U29*$AD29/($I29*$M29),"")</f>
        <v/>
      </c>
      <c r="AF29" s="28" t="str">
        <f aca="false">IF($Y29=1,INDEX(Fournisseurs!$L$5:$L$24,MATCH($C29,Fournisseurs!$A$5:$A$24,0))*$AD29/($I29*$M29),"")</f>
        <v/>
      </c>
      <c r="AG29" s="28" t="str">
        <f aca="false">IF($Y29=1,$AA29*$U29/$I29,"")</f>
        <v/>
      </c>
      <c r="AH29" s="28" t="str">
        <f aca="false">IF($Y29=1,$AB29*$U29/$I29,"")</f>
        <v/>
      </c>
      <c r="AI29" s="18" t="str">
        <f aca="false">IF($Y29=1,IF(AND(Paramètres!$B$4="EFFECTIVE",$W29="CH",$AB29&gt;0),1,0),"")</f>
        <v/>
      </c>
      <c r="AJ29" s="28" t="str">
        <f aca="false">IF($Y29=1,IF($X29&lt;&gt;"CH",($AG29+$AE29+$AF29)*Paramètres!$B$14,0),"")</f>
        <v/>
      </c>
      <c r="AK29" s="29" t="str">
        <f aca="false">IF($Y29=1,$AG29+IF($AI29=1,0,$AH29)+$AE29+$AF29+IF(Paramètres!$B$4="NOT_REGISTERED",$AJ29,0),"")</f>
        <v/>
      </c>
      <c r="AL29" s="27" t="str">
        <f aca="false">IF($Y29=1,($AK29+Paramètres!$B$7+Paramètres!$B$8+Paramètres!$B$9+Paramètres!$B$10)/((1-Paramètres!$B$11)/(1+Paramètres!$B$5)-Paramètres!$B$6),"")</f>
        <v/>
      </c>
      <c r="AM29" s="26" t="str">
        <f aca="false">IF(AND($Y29=1,ISNUMBER($R29)),IF($R29&gt;0,$AL29/$R29-1,""),"")</f>
        <v/>
      </c>
      <c r="AN29" s="27" t="str">
        <f aca="false">IF(AND($Y29=1,ISNUMBER($R29)),IF($R29&gt;0,$R29/(1+Paramètres!$B$5)-$AK29-($R29*Paramètres!$B$6+Paramètres!$B$7)-Paramètres!$B$8-Paramètres!$B$9-Paramètres!$B$10,""),"")</f>
        <v/>
      </c>
      <c r="AO29" s="26" t="str">
        <f aca="false">IF(ISNUMBER($AN29),$AN29/($R29/(1+Paramètres!$B$5)),"")</f>
        <v/>
      </c>
      <c r="AP29" s="30" t="str">
        <f aca="false">IF($A29="","",IF($Y29&lt;&gt;1,"INCOMPLET",IF(NOT(ISNUMBER($AM29)),"SANS RÉF. MARCHÉ",IF($AM29&lt;=Paramètres!$B$12,"OK",IF(AND($AO29&gt;=Paramètres!$B$15,$AN29&gt;=Paramètres!$B$16),"À REVOIR","NON RENTABLE")))))</f>
        <v>INCOMPLET</v>
      </c>
      <c r="AQ29" s="18" t="str">
        <f aca="false">TRIM(IF(AND($Y29=1,ISNUMBER($N29)),IF($M29&lt;$N29,"MOQ ",""),"")&amp;IF(AND($Y29=1,ISNUMBER($O29)),IF($O29&lt;$I29*$M29,"DISPO ",""),"")&amp;IF($S29="O","FICTIF ","")&amp;IF($Y29=1,IF(AND($K29="TTC",$W29&lt;&gt;"CH"),"TVA-ÉTRANGÈRE ",""),""))</f>
        <v/>
      </c>
      <c r="AR29" s="18" t="str">
        <f aca="false">IF($Y29=1,COUNTIFS($A$6:$A$205,$A29,$AK$6:$AK$205,"&lt;"&amp;$AK29,$Y$6:$Y$205,1)+1,"")</f>
        <v/>
      </c>
      <c r="AS29" s="18" t="str">
        <f aca="false">IF(ISNUMBER($AR29),$A29&amp;"|"&amp;$AR29,"")</f>
        <v/>
      </c>
      <c r="AT29" s="27" t="str">
        <f aca="false">IF($Y29=1,$AK29*$I29*$M29,"")</f>
        <v/>
      </c>
    </row>
    <row r="30" customFormat="false" ht="15" hidden="false" customHeight="false" outlineLevel="0" collapsed="false">
      <c r="A30" s="9" t="s">
        <v>159</v>
      </c>
      <c r="B30" s="9" t="s">
        <v>160</v>
      </c>
      <c r="C30" s="9" t="s">
        <v>79</v>
      </c>
      <c r="D30" s="9"/>
      <c r="E30" s="9"/>
      <c r="F30" s="9"/>
      <c r="G30" s="9" t="s">
        <v>161</v>
      </c>
      <c r="H30" s="9" t="s">
        <v>148</v>
      </c>
      <c r="I30" s="9"/>
      <c r="J30" s="13"/>
      <c r="K30" s="9"/>
      <c r="L30" s="12"/>
      <c r="M30" s="9"/>
      <c r="N30" s="9"/>
      <c r="O30" s="9"/>
      <c r="P30" s="9"/>
      <c r="Q30" s="16"/>
      <c r="R30" s="13"/>
      <c r="S30" s="9" t="s">
        <v>78</v>
      </c>
      <c r="T30" s="18" t="n">
        <f aca="false">IF($C30="","",IFERROR(INDEX(Fournisseurs!$C$5:$C$24,MATCH($C30,Fournisseurs!$A$5:$A$24,0)),""))</f>
        <v>0</v>
      </c>
      <c r="U30" s="25" t="n">
        <f aca="false">IF($C30="","",IFERROR(INDEX(Fournisseurs!$D$5:$D$24,MATCH($C30,Fournisseurs!$A$5:$A$24,0)),""))</f>
        <v>0</v>
      </c>
      <c r="V30" s="26" t="n">
        <f aca="false">IF($C30="","",IFERROR(INDEX(Fournisseurs!$G$5:$G$24,MATCH($C30,Fournisseurs!$A$5:$A$24,0)),""))</f>
        <v>0</v>
      </c>
      <c r="W30" s="18" t="n">
        <f aca="false">IF($C30="","",IFERROR(INDEX(Fournisseurs!$H$5:$H$24,MATCH($C30,Fournisseurs!$A$5:$A$24,0)),""))</f>
        <v>0</v>
      </c>
      <c r="X30" s="18" t="n">
        <f aca="false">IF($C30="","",IFERROR(INDEX(Fournisseurs!$B$5:$B$24,MATCH($C30,Fournisseurs!$A$5:$A$24,0)),""))</f>
        <v>0</v>
      </c>
      <c r="Y30" s="18" t="n">
        <f aca="false">IF($A30="","",IF(AND($A30&lt;&gt;"",$C30&lt;&gt;"",ISNUMBER($I30),ISNUMBER($J30),ISNUMBER($M30)),IF(AND($I30&gt;=1,$J30&gt;0,OR($K30="HT",$K30="TTC"),$M30&gt;=1,IFERROR(INDEX(Fournisseurs!$T$5:$T$24,MATCH($C30,Fournisseurs!$A$5:$A$24,0)),0)=1),1,0),0))</f>
        <v>0</v>
      </c>
      <c r="Z30" s="27" t="str">
        <f aca="false">IF($Y30=1,$J30*(1-N($L30)),"")</f>
        <v/>
      </c>
      <c r="AA30" s="28" t="str">
        <f aca="false">IF($Y30=1,IF($K30="TTC",$Z30/(1+$V30),$Z30),"")</f>
        <v/>
      </c>
      <c r="AB30" s="28" t="str">
        <f aca="false">IF($Y30=1,IF($K30="TTC",$Z30-$AA30,$AA30*$V30),"")</f>
        <v/>
      </c>
      <c r="AC30" s="27" t="str">
        <f aca="false">IF($Y30=1,$AA30*$U30*$M30,"")</f>
        <v/>
      </c>
      <c r="AD30" s="26" t="str">
        <f aca="false">IF($Y30=1,$AC30/SUMIFS($AC$6:$AC$205,$C$6:$C$205,$C30,$Y$6:$Y$205,1),"")</f>
        <v/>
      </c>
      <c r="AE30" s="28" t="str">
        <f aca="false">IF($Y30=1,(INDEX(Fournisseurs!$J$5:$J$24,MATCH($C30,Fournisseurs!$A$5:$A$24,0))+INDEX(Fournisseurs!$K$5:$K$24,MATCH($C30,Fournisseurs!$A$5:$A$24,0)))*$U30*$AD30/($I30*$M30),"")</f>
        <v/>
      </c>
      <c r="AF30" s="28" t="str">
        <f aca="false">IF($Y30=1,INDEX(Fournisseurs!$L$5:$L$24,MATCH($C30,Fournisseurs!$A$5:$A$24,0))*$AD30/($I30*$M30),"")</f>
        <v/>
      </c>
      <c r="AG30" s="28" t="str">
        <f aca="false">IF($Y30=1,$AA30*$U30/$I30,"")</f>
        <v/>
      </c>
      <c r="AH30" s="28" t="str">
        <f aca="false">IF($Y30=1,$AB30*$U30/$I30,"")</f>
        <v/>
      </c>
      <c r="AI30" s="18" t="str">
        <f aca="false">IF($Y30=1,IF(AND(Paramètres!$B$4="EFFECTIVE",$W30="CH",$AB30&gt;0),1,0),"")</f>
        <v/>
      </c>
      <c r="AJ30" s="28" t="str">
        <f aca="false">IF($Y30=1,IF($X30&lt;&gt;"CH",($AG30+$AE30+$AF30)*Paramètres!$B$14,0),"")</f>
        <v/>
      </c>
      <c r="AK30" s="29" t="str">
        <f aca="false">IF($Y30=1,$AG30+IF($AI30=1,0,$AH30)+$AE30+$AF30+IF(Paramètres!$B$4="NOT_REGISTERED",$AJ30,0),"")</f>
        <v/>
      </c>
      <c r="AL30" s="27" t="str">
        <f aca="false">IF($Y30=1,($AK30+Paramètres!$B$7+Paramètres!$B$8+Paramètres!$B$9+Paramètres!$B$10)/((1-Paramètres!$B$11)/(1+Paramètres!$B$5)-Paramètres!$B$6),"")</f>
        <v/>
      </c>
      <c r="AM30" s="26" t="str">
        <f aca="false">IF(AND($Y30=1,ISNUMBER($R30)),IF($R30&gt;0,$AL30/$R30-1,""),"")</f>
        <v/>
      </c>
      <c r="AN30" s="27" t="str">
        <f aca="false">IF(AND($Y30=1,ISNUMBER($R30)),IF($R30&gt;0,$R30/(1+Paramètres!$B$5)-$AK30-($R30*Paramètres!$B$6+Paramètres!$B$7)-Paramètres!$B$8-Paramètres!$B$9-Paramètres!$B$10,""),"")</f>
        <v/>
      </c>
      <c r="AO30" s="26" t="str">
        <f aca="false">IF(ISNUMBER($AN30),$AN30/($R30/(1+Paramètres!$B$5)),"")</f>
        <v/>
      </c>
      <c r="AP30" s="30" t="str">
        <f aca="false">IF($A30="","",IF($Y30&lt;&gt;1,"INCOMPLET",IF(NOT(ISNUMBER($AM30)),"SANS RÉF. MARCHÉ",IF($AM30&lt;=Paramètres!$B$12,"OK",IF(AND($AO30&gt;=Paramètres!$B$15,$AN30&gt;=Paramètres!$B$16),"À REVOIR","NON RENTABLE")))))</f>
        <v>INCOMPLET</v>
      </c>
      <c r="AQ30" s="18" t="str">
        <f aca="false">TRIM(IF(AND($Y30=1,ISNUMBER($N30)),IF($M30&lt;$N30,"MOQ ",""),"")&amp;IF(AND($Y30=1,ISNUMBER($O30)),IF($O30&lt;$I30*$M30,"DISPO ",""),"")&amp;IF($S30="O","FICTIF ","")&amp;IF($Y30=1,IF(AND($K30="TTC",$W30&lt;&gt;"CH"),"TVA-ÉTRANGÈRE ",""),""))</f>
        <v/>
      </c>
      <c r="AR30" s="18" t="str">
        <f aca="false">IF($Y30=1,COUNTIFS($A$6:$A$205,$A30,$AK$6:$AK$205,"&lt;"&amp;$AK30,$Y$6:$Y$205,1)+1,"")</f>
        <v/>
      </c>
      <c r="AS30" s="18" t="str">
        <f aca="false">IF(ISNUMBER($AR30),$A30&amp;"|"&amp;$AR30,"")</f>
        <v/>
      </c>
      <c r="AT30" s="27" t="str">
        <f aca="false">IF($Y30=1,$AK30*$I30*$M30,"")</f>
        <v/>
      </c>
    </row>
    <row r="31" customFormat="false" ht="15" hidden="false" customHeight="false" outlineLevel="0" collapsed="false">
      <c r="A31" s="9" t="s">
        <v>162</v>
      </c>
      <c r="B31" s="9" t="s">
        <v>163</v>
      </c>
      <c r="C31" s="9" t="s">
        <v>79</v>
      </c>
      <c r="D31" s="9"/>
      <c r="E31" s="9"/>
      <c r="F31" s="9"/>
      <c r="G31" s="9" t="s">
        <v>154</v>
      </c>
      <c r="H31" s="9" t="s">
        <v>148</v>
      </c>
      <c r="I31" s="9"/>
      <c r="J31" s="13"/>
      <c r="K31" s="9"/>
      <c r="L31" s="12"/>
      <c r="M31" s="9"/>
      <c r="N31" s="9"/>
      <c r="O31" s="9"/>
      <c r="P31" s="9"/>
      <c r="Q31" s="16"/>
      <c r="R31" s="13"/>
      <c r="S31" s="9" t="s">
        <v>78</v>
      </c>
      <c r="T31" s="18" t="n">
        <f aca="false">IF($C31="","",IFERROR(INDEX(Fournisseurs!$C$5:$C$24,MATCH($C31,Fournisseurs!$A$5:$A$24,0)),""))</f>
        <v>0</v>
      </c>
      <c r="U31" s="25" t="n">
        <f aca="false">IF($C31="","",IFERROR(INDEX(Fournisseurs!$D$5:$D$24,MATCH($C31,Fournisseurs!$A$5:$A$24,0)),""))</f>
        <v>0</v>
      </c>
      <c r="V31" s="26" t="n">
        <f aca="false">IF($C31="","",IFERROR(INDEX(Fournisseurs!$G$5:$G$24,MATCH($C31,Fournisseurs!$A$5:$A$24,0)),""))</f>
        <v>0</v>
      </c>
      <c r="W31" s="18" t="n">
        <f aca="false">IF($C31="","",IFERROR(INDEX(Fournisseurs!$H$5:$H$24,MATCH($C31,Fournisseurs!$A$5:$A$24,0)),""))</f>
        <v>0</v>
      </c>
      <c r="X31" s="18" t="n">
        <f aca="false">IF($C31="","",IFERROR(INDEX(Fournisseurs!$B$5:$B$24,MATCH($C31,Fournisseurs!$A$5:$A$24,0)),""))</f>
        <v>0</v>
      </c>
      <c r="Y31" s="18" t="n">
        <f aca="false">IF($A31="","",IF(AND($A31&lt;&gt;"",$C31&lt;&gt;"",ISNUMBER($I31),ISNUMBER($J31),ISNUMBER($M31)),IF(AND($I31&gt;=1,$J31&gt;0,OR($K31="HT",$K31="TTC"),$M31&gt;=1,IFERROR(INDEX(Fournisseurs!$T$5:$T$24,MATCH($C31,Fournisseurs!$A$5:$A$24,0)),0)=1),1,0),0))</f>
        <v>0</v>
      </c>
      <c r="Z31" s="27" t="str">
        <f aca="false">IF($Y31=1,$J31*(1-N($L31)),"")</f>
        <v/>
      </c>
      <c r="AA31" s="28" t="str">
        <f aca="false">IF($Y31=1,IF($K31="TTC",$Z31/(1+$V31),$Z31),"")</f>
        <v/>
      </c>
      <c r="AB31" s="28" t="str">
        <f aca="false">IF($Y31=1,IF($K31="TTC",$Z31-$AA31,$AA31*$V31),"")</f>
        <v/>
      </c>
      <c r="AC31" s="27" t="str">
        <f aca="false">IF($Y31=1,$AA31*$U31*$M31,"")</f>
        <v/>
      </c>
      <c r="AD31" s="26" t="str">
        <f aca="false">IF($Y31=1,$AC31/SUMIFS($AC$6:$AC$205,$C$6:$C$205,$C31,$Y$6:$Y$205,1),"")</f>
        <v/>
      </c>
      <c r="AE31" s="28" t="str">
        <f aca="false">IF($Y31=1,(INDEX(Fournisseurs!$J$5:$J$24,MATCH($C31,Fournisseurs!$A$5:$A$24,0))+INDEX(Fournisseurs!$K$5:$K$24,MATCH($C31,Fournisseurs!$A$5:$A$24,0)))*$U31*$AD31/($I31*$M31),"")</f>
        <v/>
      </c>
      <c r="AF31" s="28" t="str">
        <f aca="false">IF($Y31=1,INDEX(Fournisseurs!$L$5:$L$24,MATCH($C31,Fournisseurs!$A$5:$A$24,0))*$AD31/($I31*$M31),"")</f>
        <v/>
      </c>
      <c r="AG31" s="28" t="str">
        <f aca="false">IF($Y31=1,$AA31*$U31/$I31,"")</f>
        <v/>
      </c>
      <c r="AH31" s="28" t="str">
        <f aca="false">IF($Y31=1,$AB31*$U31/$I31,"")</f>
        <v/>
      </c>
      <c r="AI31" s="18" t="str">
        <f aca="false">IF($Y31=1,IF(AND(Paramètres!$B$4="EFFECTIVE",$W31="CH",$AB31&gt;0),1,0),"")</f>
        <v/>
      </c>
      <c r="AJ31" s="28" t="str">
        <f aca="false">IF($Y31=1,IF($X31&lt;&gt;"CH",($AG31+$AE31+$AF31)*Paramètres!$B$14,0),"")</f>
        <v/>
      </c>
      <c r="AK31" s="29" t="str">
        <f aca="false">IF($Y31=1,$AG31+IF($AI31=1,0,$AH31)+$AE31+$AF31+IF(Paramètres!$B$4="NOT_REGISTERED",$AJ31,0),"")</f>
        <v/>
      </c>
      <c r="AL31" s="27" t="str">
        <f aca="false">IF($Y31=1,($AK31+Paramètres!$B$7+Paramètres!$B$8+Paramètres!$B$9+Paramètres!$B$10)/((1-Paramètres!$B$11)/(1+Paramètres!$B$5)-Paramètres!$B$6),"")</f>
        <v/>
      </c>
      <c r="AM31" s="26" t="str">
        <f aca="false">IF(AND($Y31=1,ISNUMBER($R31)),IF($R31&gt;0,$AL31/$R31-1,""),"")</f>
        <v/>
      </c>
      <c r="AN31" s="27" t="str">
        <f aca="false">IF(AND($Y31=1,ISNUMBER($R31)),IF($R31&gt;0,$R31/(1+Paramètres!$B$5)-$AK31-($R31*Paramètres!$B$6+Paramètres!$B$7)-Paramètres!$B$8-Paramètres!$B$9-Paramètres!$B$10,""),"")</f>
        <v/>
      </c>
      <c r="AO31" s="26" t="str">
        <f aca="false">IF(ISNUMBER($AN31),$AN31/($R31/(1+Paramètres!$B$5)),"")</f>
        <v/>
      </c>
      <c r="AP31" s="30" t="str">
        <f aca="false">IF($A31="","",IF($Y31&lt;&gt;1,"INCOMPLET",IF(NOT(ISNUMBER($AM31)),"SANS RÉF. MARCHÉ",IF($AM31&lt;=Paramètres!$B$12,"OK",IF(AND($AO31&gt;=Paramètres!$B$15,$AN31&gt;=Paramètres!$B$16),"À REVOIR","NON RENTABLE")))))</f>
        <v>INCOMPLET</v>
      </c>
      <c r="AQ31" s="18" t="str">
        <f aca="false">TRIM(IF(AND($Y31=1,ISNUMBER($N31)),IF($M31&lt;$N31,"MOQ ",""),"")&amp;IF(AND($Y31=1,ISNUMBER($O31)),IF($O31&lt;$I31*$M31,"DISPO ",""),"")&amp;IF($S31="O","FICTIF ","")&amp;IF($Y31=1,IF(AND($K31="TTC",$W31&lt;&gt;"CH"),"TVA-ÉTRANGÈRE ",""),""))</f>
        <v/>
      </c>
      <c r="AR31" s="18" t="str">
        <f aca="false">IF($Y31=1,COUNTIFS($A$6:$A$205,$A31,$AK$6:$AK$205,"&lt;"&amp;$AK31,$Y$6:$Y$205,1)+1,"")</f>
        <v/>
      </c>
      <c r="AS31" s="18" t="str">
        <f aca="false">IF(ISNUMBER($AR31),$A31&amp;"|"&amp;$AR31,"")</f>
        <v/>
      </c>
      <c r="AT31" s="27" t="str">
        <f aca="false">IF($Y31=1,$AK31*$I31*$M31,"")</f>
        <v/>
      </c>
    </row>
    <row r="32" customFormat="false" ht="15" hidden="false" customHeight="false" outlineLevel="0" collapsed="false">
      <c r="A32" s="9" t="s">
        <v>164</v>
      </c>
      <c r="B32" s="9" t="s">
        <v>165</v>
      </c>
      <c r="C32" s="9" t="s">
        <v>79</v>
      </c>
      <c r="D32" s="9"/>
      <c r="E32" s="9"/>
      <c r="F32" s="9"/>
      <c r="G32" s="9" t="s">
        <v>166</v>
      </c>
      <c r="H32" s="9" t="s">
        <v>148</v>
      </c>
      <c r="I32" s="9"/>
      <c r="J32" s="13"/>
      <c r="K32" s="9"/>
      <c r="L32" s="12"/>
      <c r="M32" s="9"/>
      <c r="N32" s="9"/>
      <c r="O32" s="9"/>
      <c r="P32" s="9"/>
      <c r="Q32" s="16"/>
      <c r="R32" s="13"/>
      <c r="S32" s="9" t="s">
        <v>78</v>
      </c>
      <c r="T32" s="18" t="n">
        <f aca="false">IF($C32="","",IFERROR(INDEX(Fournisseurs!$C$5:$C$24,MATCH($C32,Fournisseurs!$A$5:$A$24,0)),""))</f>
        <v>0</v>
      </c>
      <c r="U32" s="25" t="n">
        <f aca="false">IF($C32="","",IFERROR(INDEX(Fournisseurs!$D$5:$D$24,MATCH($C32,Fournisseurs!$A$5:$A$24,0)),""))</f>
        <v>0</v>
      </c>
      <c r="V32" s="26" t="n">
        <f aca="false">IF($C32="","",IFERROR(INDEX(Fournisseurs!$G$5:$G$24,MATCH($C32,Fournisseurs!$A$5:$A$24,0)),""))</f>
        <v>0</v>
      </c>
      <c r="W32" s="18" t="n">
        <f aca="false">IF($C32="","",IFERROR(INDEX(Fournisseurs!$H$5:$H$24,MATCH($C32,Fournisseurs!$A$5:$A$24,0)),""))</f>
        <v>0</v>
      </c>
      <c r="X32" s="18" t="n">
        <f aca="false">IF($C32="","",IFERROR(INDEX(Fournisseurs!$B$5:$B$24,MATCH($C32,Fournisseurs!$A$5:$A$24,0)),""))</f>
        <v>0</v>
      </c>
      <c r="Y32" s="18" t="n">
        <f aca="false">IF($A32="","",IF(AND($A32&lt;&gt;"",$C32&lt;&gt;"",ISNUMBER($I32),ISNUMBER($J32),ISNUMBER($M32)),IF(AND($I32&gt;=1,$J32&gt;0,OR($K32="HT",$K32="TTC"),$M32&gt;=1,IFERROR(INDEX(Fournisseurs!$T$5:$T$24,MATCH($C32,Fournisseurs!$A$5:$A$24,0)),0)=1),1,0),0))</f>
        <v>0</v>
      </c>
      <c r="Z32" s="27" t="str">
        <f aca="false">IF($Y32=1,$J32*(1-N($L32)),"")</f>
        <v/>
      </c>
      <c r="AA32" s="28" t="str">
        <f aca="false">IF($Y32=1,IF($K32="TTC",$Z32/(1+$V32),$Z32),"")</f>
        <v/>
      </c>
      <c r="AB32" s="28" t="str">
        <f aca="false">IF($Y32=1,IF($K32="TTC",$Z32-$AA32,$AA32*$V32),"")</f>
        <v/>
      </c>
      <c r="AC32" s="27" t="str">
        <f aca="false">IF($Y32=1,$AA32*$U32*$M32,"")</f>
        <v/>
      </c>
      <c r="AD32" s="26" t="str">
        <f aca="false">IF($Y32=1,$AC32/SUMIFS($AC$6:$AC$205,$C$6:$C$205,$C32,$Y$6:$Y$205,1),"")</f>
        <v/>
      </c>
      <c r="AE32" s="28" t="str">
        <f aca="false">IF($Y32=1,(INDEX(Fournisseurs!$J$5:$J$24,MATCH($C32,Fournisseurs!$A$5:$A$24,0))+INDEX(Fournisseurs!$K$5:$K$24,MATCH($C32,Fournisseurs!$A$5:$A$24,0)))*$U32*$AD32/($I32*$M32),"")</f>
        <v/>
      </c>
      <c r="AF32" s="28" t="str">
        <f aca="false">IF($Y32=1,INDEX(Fournisseurs!$L$5:$L$24,MATCH($C32,Fournisseurs!$A$5:$A$24,0))*$AD32/($I32*$M32),"")</f>
        <v/>
      </c>
      <c r="AG32" s="28" t="str">
        <f aca="false">IF($Y32=1,$AA32*$U32/$I32,"")</f>
        <v/>
      </c>
      <c r="AH32" s="28" t="str">
        <f aca="false">IF($Y32=1,$AB32*$U32/$I32,"")</f>
        <v/>
      </c>
      <c r="AI32" s="18" t="str">
        <f aca="false">IF($Y32=1,IF(AND(Paramètres!$B$4="EFFECTIVE",$W32="CH",$AB32&gt;0),1,0),"")</f>
        <v/>
      </c>
      <c r="AJ32" s="28" t="str">
        <f aca="false">IF($Y32=1,IF($X32&lt;&gt;"CH",($AG32+$AE32+$AF32)*Paramètres!$B$14,0),"")</f>
        <v/>
      </c>
      <c r="AK32" s="29" t="str">
        <f aca="false">IF($Y32=1,$AG32+IF($AI32=1,0,$AH32)+$AE32+$AF32+IF(Paramètres!$B$4="NOT_REGISTERED",$AJ32,0),"")</f>
        <v/>
      </c>
      <c r="AL32" s="27" t="str">
        <f aca="false">IF($Y32=1,($AK32+Paramètres!$B$7+Paramètres!$B$8+Paramètres!$B$9+Paramètres!$B$10)/((1-Paramètres!$B$11)/(1+Paramètres!$B$5)-Paramètres!$B$6),"")</f>
        <v/>
      </c>
      <c r="AM32" s="26" t="str">
        <f aca="false">IF(AND($Y32=1,ISNUMBER($R32)),IF($R32&gt;0,$AL32/$R32-1,""),"")</f>
        <v/>
      </c>
      <c r="AN32" s="27" t="str">
        <f aca="false">IF(AND($Y32=1,ISNUMBER($R32)),IF($R32&gt;0,$R32/(1+Paramètres!$B$5)-$AK32-($R32*Paramètres!$B$6+Paramètres!$B$7)-Paramètres!$B$8-Paramètres!$B$9-Paramètres!$B$10,""),"")</f>
        <v/>
      </c>
      <c r="AO32" s="26" t="str">
        <f aca="false">IF(ISNUMBER($AN32),$AN32/($R32/(1+Paramètres!$B$5)),"")</f>
        <v/>
      </c>
      <c r="AP32" s="30" t="str">
        <f aca="false">IF($A32="","",IF($Y32&lt;&gt;1,"INCOMPLET",IF(NOT(ISNUMBER($AM32)),"SANS RÉF. MARCHÉ",IF($AM32&lt;=Paramètres!$B$12,"OK",IF(AND($AO32&gt;=Paramètres!$B$15,$AN32&gt;=Paramètres!$B$16),"À REVOIR","NON RENTABLE")))))</f>
        <v>INCOMPLET</v>
      </c>
      <c r="AQ32" s="18" t="str">
        <f aca="false">TRIM(IF(AND($Y32=1,ISNUMBER($N32)),IF($M32&lt;$N32,"MOQ ",""),"")&amp;IF(AND($Y32=1,ISNUMBER($O32)),IF($O32&lt;$I32*$M32,"DISPO ",""),"")&amp;IF($S32="O","FICTIF ","")&amp;IF($Y32=1,IF(AND($K32="TTC",$W32&lt;&gt;"CH"),"TVA-ÉTRANGÈRE ",""),""))</f>
        <v/>
      </c>
      <c r="AR32" s="18" t="str">
        <f aca="false">IF($Y32=1,COUNTIFS($A$6:$A$205,$A32,$AK$6:$AK$205,"&lt;"&amp;$AK32,$Y$6:$Y$205,1)+1,"")</f>
        <v/>
      </c>
      <c r="AS32" s="18" t="str">
        <f aca="false">IF(ISNUMBER($AR32),$A32&amp;"|"&amp;$AR32,"")</f>
        <v/>
      </c>
      <c r="AT32" s="27" t="str">
        <f aca="false">IF($Y32=1,$AK32*$I32*$M32,"")</f>
        <v/>
      </c>
    </row>
    <row r="33" customFormat="false" ht="15" hidden="false" customHeight="false" outlineLevel="0" collapsed="false">
      <c r="A33" s="9" t="s">
        <v>167</v>
      </c>
      <c r="B33" s="9" t="s">
        <v>168</v>
      </c>
      <c r="C33" s="9" t="s">
        <v>79</v>
      </c>
      <c r="D33" s="9"/>
      <c r="E33" s="9"/>
      <c r="F33" s="9"/>
      <c r="G33" s="9" t="s">
        <v>161</v>
      </c>
      <c r="H33" s="9" t="s">
        <v>169</v>
      </c>
      <c r="I33" s="9"/>
      <c r="J33" s="13"/>
      <c r="K33" s="9"/>
      <c r="L33" s="12"/>
      <c r="M33" s="9"/>
      <c r="N33" s="9"/>
      <c r="O33" s="9"/>
      <c r="P33" s="9"/>
      <c r="Q33" s="16"/>
      <c r="R33" s="13"/>
      <c r="S33" s="9" t="s">
        <v>78</v>
      </c>
      <c r="T33" s="18" t="n">
        <f aca="false">IF($C33="","",IFERROR(INDEX(Fournisseurs!$C$5:$C$24,MATCH($C33,Fournisseurs!$A$5:$A$24,0)),""))</f>
        <v>0</v>
      </c>
      <c r="U33" s="25" t="n">
        <f aca="false">IF($C33="","",IFERROR(INDEX(Fournisseurs!$D$5:$D$24,MATCH($C33,Fournisseurs!$A$5:$A$24,0)),""))</f>
        <v>0</v>
      </c>
      <c r="V33" s="26" t="n">
        <f aca="false">IF($C33="","",IFERROR(INDEX(Fournisseurs!$G$5:$G$24,MATCH($C33,Fournisseurs!$A$5:$A$24,0)),""))</f>
        <v>0</v>
      </c>
      <c r="W33" s="18" t="n">
        <f aca="false">IF($C33="","",IFERROR(INDEX(Fournisseurs!$H$5:$H$24,MATCH($C33,Fournisseurs!$A$5:$A$24,0)),""))</f>
        <v>0</v>
      </c>
      <c r="X33" s="18" t="n">
        <f aca="false">IF($C33="","",IFERROR(INDEX(Fournisseurs!$B$5:$B$24,MATCH($C33,Fournisseurs!$A$5:$A$24,0)),""))</f>
        <v>0</v>
      </c>
      <c r="Y33" s="18" t="n">
        <f aca="false">IF($A33="","",IF(AND($A33&lt;&gt;"",$C33&lt;&gt;"",ISNUMBER($I33),ISNUMBER($J33),ISNUMBER($M33)),IF(AND($I33&gt;=1,$J33&gt;0,OR($K33="HT",$K33="TTC"),$M33&gt;=1,IFERROR(INDEX(Fournisseurs!$T$5:$T$24,MATCH($C33,Fournisseurs!$A$5:$A$24,0)),0)=1),1,0),0))</f>
        <v>0</v>
      </c>
      <c r="Z33" s="27" t="str">
        <f aca="false">IF($Y33=1,$J33*(1-N($L33)),"")</f>
        <v/>
      </c>
      <c r="AA33" s="28" t="str">
        <f aca="false">IF($Y33=1,IF($K33="TTC",$Z33/(1+$V33),$Z33),"")</f>
        <v/>
      </c>
      <c r="AB33" s="28" t="str">
        <f aca="false">IF($Y33=1,IF($K33="TTC",$Z33-$AA33,$AA33*$V33),"")</f>
        <v/>
      </c>
      <c r="AC33" s="27" t="str">
        <f aca="false">IF($Y33=1,$AA33*$U33*$M33,"")</f>
        <v/>
      </c>
      <c r="AD33" s="26" t="str">
        <f aca="false">IF($Y33=1,$AC33/SUMIFS($AC$6:$AC$205,$C$6:$C$205,$C33,$Y$6:$Y$205,1),"")</f>
        <v/>
      </c>
      <c r="AE33" s="28" t="str">
        <f aca="false">IF($Y33=1,(INDEX(Fournisseurs!$J$5:$J$24,MATCH($C33,Fournisseurs!$A$5:$A$24,0))+INDEX(Fournisseurs!$K$5:$K$24,MATCH($C33,Fournisseurs!$A$5:$A$24,0)))*$U33*$AD33/($I33*$M33),"")</f>
        <v/>
      </c>
      <c r="AF33" s="28" t="str">
        <f aca="false">IF($Y33=1,INDEX(Fournisseurs!$L$5:$L$24,MATCH($C33,Fournisseurs!$A$5:$A$24,0))*$AD33/($I33*$M33),"")</f>
        <v/>
      </c>
      <c r="AG33" s="28" t="str">
        <f aca="false">IF($Y33=1,$AA33*$U33/$I33,"")</f>
        <v/>
      </c>
      <c r="AH33" s="28" t="str">
        <f aca="false">IF($Y33=1,$AB33*$U33/$I33,"")</f>
        <v/>
      </c>
      <c r="AI33" s="18" t="str">
        <f aca="false">IF($Y33=1,IF(AND(Paramètres!$B$4="EFFECTIVE",$W33="CH",$AB33&gt;0),1,0),"")</f>
        <v/>
      </c>
      <c r="AJ33" s="28" t="str">
        <f aca="false">IF($Y33=1,IF($X33&lt;&gt;"CH",($AG33+$AE33+$AF33)*Paramètres!$B$14,0),"")</f>
        <v/>
      </c>
      <c r="AK33" s="29" t="str">
        <f aca="false">IF($Y33=1,$AG33+IF($AI33=1,0,$AH33)+$AE33+$AF33+IF(Paramètres!$B$4="NOT_REGISTERED",$AJ33,0),"")</f>
        <v/>
      </c>
      <c r="AL33" s="27" t="str">
        <f aca="false">IF($Y33=1,($AK33+Paramètres!$B$7+Paramètres!$B$8+Paramètres!$B$9+Paramètres!$B$10)/((1-Paramètres!$B$11)/(1+Paramètres!$B$5)-Paramètres!$B$6),"")</f>
        <v/>
      </c>
      <c r="AM33" s="26" t="str">
        <f aca="false">IF(AND($Y33=1,ISNUMBER($R33)),IF($R33&gt;0,$AL33/$R33-1,""),"")</f>
        <v/>
      </c>
      <c r="AN33" s="27" t="str">
        <f aca="false">IF(AND($Y33=1,ISNUMBER($R33)),IF($R33&gt;0,$R33/(1+Paramètres!$B$5)-$AK33-($R33*Paramètres!$B$6+Paramètres!$B$7)-Paramètres!$B$8-Paramètres!$B$9-Paramètres!$B$10,""),"")</f>
        <v/>
      </c>
      <c r="AO33" s="26" t="str">
        <f aca="false">IF(ISNUMBER($AN33),$AN33/($R33/(1+Paramètres!$B$5)),"")</f>
        <v/>
      </c>
      <c r="AP33" s="30" t="str">
        <f aca="false">IF($A33="","",IF($Y33&lt;&gt;1,"INCOMPLET",IF(NOT(ISNUMBER($AM33)),"SANS RÉF. MARCHÉ",IF($AM33&lt;=Paramètres!$B$12,"OK",IF(AND($AO33&gt;=Paramètres!$B$15,$AN33&gt;=Paramètres!$B$16),"À REVOIR","NON RENTABLE")))))</f>
        <v>INCOMPLET</v>
      </c>
      <c r="AQ33" s="18" t="str">
        <f aca="false">TRIM(IF(AND($Y33=1,ISNUMBER($N33)),IF($M33&lt;$N33,"MOQ ",""),"")&amp;IF(AND($Y33=1,ISNUMBER($O33)),IF($O33&lt;$I33*$M33,"DISPO ",""),"")&amp;IF($S33="O","FICTIF ","")&amp;IF($Y33=1,IF(AND($K33="TTC",$W33&lt;&gt;"CH"),"TVA-ÉTRANGÈRE ",""),""))</f>
        <v/>
      </c>
      <c r="AR33" s="18" t="str">
        <f aca="false">IF($Y33=1,COUNTIFS($A$6:$A$205,$A33,$AK$6:$AK$205,"&lt;"&amp;$AK33,$Y$6:$Y$205,1)+1,"")</f>
        <v/>
      </c>
      <c r="AS33" s="18" t="str">
        <f aca="false">IF(ISNUMBER($AR33),$A33&amp;"|"&amp;$AR33,"")</f>
        <v/>
      </c>
      <c r="AT33" s="27" t="str">
        <f aca="false">IF($Y33=1,$AK33*$I33*$M33,"")</f>
        <v/>
      </c>
    </row>
    <row r="34" customFormat="false" ht="15" hidden="false" customHeight="false" outlineLevel="0" collapsed="false">
      <c r="A34" s="9" t="s">
        <v>170</v>
      </c>
      <c r="B34" s="9" t="s">
        <v>171</v>
      </c>
      <c r="C34" s="9" t="s">
        <v>79</v>
      </c>
      <c r="D34" s="9"/>
      <c r="E34" s="9"/>
      <c r="F34" s="9"/>
      <c r="G34" s="9" t="s">
        <v>154</v>
      </c>
      <c r="H34" s="9" t="s">
        <v>172</v>
      </c>
      <c r="I34" s="9"/>
      <c r="J34" s="13"/>
      <c r="K34" s="9"/>
      <c r="L34" s="12"/>
      <c r="M34" s="9"/>
      <c r="N34" s="9"/>
      <c r="O34" s="9"/>
      <c r="P34" s="9"/>
      <c r="Q34" s="16"/>
      <c r="R34" s="13"/>
      <c r="S34" s="9" t="s">
        <v>78</v>
      </c>
      <c r="T34" s="18" t="n">
        <f aca="false">IF($C34="","",IFERROR(INDEX(Fournisseurs!$C$5:$C$24,MATCH($C34,Fournisseurs!$A$5:$A$24,0)),""))</f>
        <v>0</v>
      </c>
      <c r="U34" s="25" t="n">
        <f aca="false">IF($C34="","",IFERROR(INDEX(Fournisseurs!$D$5:$D$24,MATCH($C34,Fournisseurs!$A$5:$A$24,0)),""))</f>
        <v>0</v>
      </c>
      <c r="V34" s="26" t="n">
        <f aca="false">IF($C34="","",IFERROR(INDEX(Fournisseurs!$G$5:$G$24,MATCH($C34,Fournisseurs!$A$5:$A$24,0)),""))</f>
        <v>0</v>
      </c>
      <c r="W34" s="18" t="n">
        <f aca="false">IF($C34="","",IFERROR(INDEX(Fournisseurs!$H$5:$H$24,MATCH($C34,Fournisseurs!$A$5:$A$24,0)),""))</f>
        <v>0</v>
      </c>
      <c r="X34" s="18" t="n">
        <f aca="false">IF($C34="","",IFERROR(INDEX(Fournisseurs!$B$5:$B$24,MATCH($C34,Fournisseurs!$A$5:$A$24,0)),""))</f>
        <v>0</v>
      </c>
      <c r="Y34" s="18" t="n">
        <f aca="false">IF($A34="","",IF(AND($A34&lt;&gt;"",$C34&lt;&gt;"",ISNUMBER($I34),ISNUMBER($J34),ISNUMBER($M34)),IF(AND($I34&gt;=1,$J34&gt;0,OR($K34="HT",$K34="TTC"),$M34&gt;=1,IFERROR(INDEX(Fournisseurs!$T$5:$T$24,MATCH($C34,Fournisseurs!$A$5:$A$24,0)),0)=1),1,0),0))</f>
        <v>0</v>
      </c>
      <c r="Z34" s="27" t="str">
        <f aca="false">IF($Y34=1,$J34*(1-N($L34)),"")</f>
        <v/>
      </c>
      <c r="AA34" s="28" t="str">
        <f aca="false">IF($Y34=1,IF($K34="TTC",$Z34/(1+$V34),$Z34),"")</f>
        <v/>
      </c>
      <c r="AB34" s="28" t="str">
        <f aca="false">IF($Y34=1,IF($K34="TTC",$Z34-$AA34,$AA34*$V34),"")</f>
        <v/>
      </c>
      <c r="AC34" s="27" t="str">
        <f aca="false">IF($Y34=1,$AA34*$U34*$M34,"")</f>
        <v/>
      </c>
      <c r="AD34" s="26" t="str">
        <f aca="false">IF($Y34=1,$AC34/SUMIFS($AC$6:$AC$205,$C$6:$C$205,$C34,$Y$6:$Y$205,1),"")</f>
        <v/>
      </c>
      <c r="AE34" s="28" t="str">
        <f aca="false">IF($Y34=1,(INDEX(Fournisseurs!$J$5:$J$24,MATCH($C34,Fournisseurs!$A$5:$A$24,0))+INDEX(Fournisseurs!$K$5:$K$24,MATCH($C34,Fournisseurs!$A$5:$A$24,0)))*$U34*$AD34/($I34*$M34),"")</f>
        <v/>
      </c>
      <c r="AF34" s="28" t="str">
        <f aca="false">IF($Y34=1,INDEX(Fournisseurs!$L$5:$L$24,MATCH($C34,Fournisseurs!$A$5:$A$24,0))*$AD34/($I34*$M34),"")</f>
        <v/>
      </c>
      <c r="AG34" s="28" t="str">
        <f aca="false">IF($Y34=1,$AA34*$U34/$I34,"")</f>
        <v/>
      </c>
      <c r="AH34" s="28" t="str">
        <f aca="false">IF($Y34=1,$AB34*$U34/$I34,"")</f>
        <v/>
      </c>
      <c r="AI34" s="18" t="str">
        <f aca="false">IF($Y34=1,IF(AND(Paramètres!$B$4="EFFECTIVE",$W34="CH",$AB34&gt;0),1,0),"")</f>
        <v/>
      </c>
      <c r="AJ34" s="28" t="str">
        <f aca="false">IF($Y34=1,IF($X34&lt;&gt;"CH",($AG34+$AE34+$AF34)*Paramètres!$B$14,0),"")</f>
        <v/>
      </c>
      <c r="AK34" s="29" t="str">
        <f aca="false">IF($Y34=1,$AG34+IF($AI34=1,0,$AH34)+$AE34+$AF34+IF(Paramètres!$B$4="NOT_REGISTERED",$AJ34,0),"")</f>
        <v/>
      </c>
      <c r="AL34" s="27" t="str">
        <f aca="false">IF($Y34=1,($AK34+Paramètres!$B$7+Paramètres!$B$8+Paramètres!$B$9+Paramètres!$B$10)/((1-Paramètres!$B$11)/(1+Paramètres!$B$5)-Paramètres!$B$6),"")</f>
        <v/>
      </c>
      <c r="AM34" s="26" t="str">
        <f aca="false">IF(AND($Y34=1,ISNUMBER($R34)),IF($R34&gt;0,$AL34/$R34-1,""),"")</f>
        <v/>
      </c>
      <c r="AN34" s="27" t="str">
        <f aca="false">IF(AND($Y34=1,ISNUMBER($R34)),IF($R34&gt;0,$R34/(1+Paramètres!$B$5)-$AK34-($R34*Paramètres!$B$6+Paramètres!$B$7)-Paramètres!$B$8-Paramètres!$B$9-Paramètres!$B$10,""),"")</f>
        <v/>
      </c>
      <c r="AO34" s="26" t="str">
        <f aca="false">IF(ISNUMBER($AN34),$AN34/($R34/(1+Paramètres!$B$5)),"")</f>
        <v/>
      </c>
      <c r="AP34" s="30" t="str">
        <f aca="false">IF($A34="","",IF($Y34&lt;&gt;1,"INCOMPLET",IF(NOT(ISNUMBER($AM34)),"SANS RÉF. MARCHÉ",IF($AM34&lt;=Paramètres!$B$12,"OK",IF(AND($AO34&gt;=Paramètres!$B$15,$AN34&gt;=Paramètres!$B$16),"À REVOIR","NON RENTABLE")))))</f>
        <v>INCOMPLET</v>
      </c>
      <c r="AQ34" s="18" t="str">
        <f aca="false">TRIM(IF(AND($Y34=1,ISNUMBER($N34)),IF($M34&lt;$N34,"MOQ ",""),"")&amp;IF(AND($Y34=1,ISNUMBER($O34)),IF($O34&lt;$I34*$M34,"DISPO ",""),"")&amp;IF($S34="O","FICTIF ","")&amp;IF($Y34=1,IF(AND($K34="TTC",$W34&lt;&gt;"CH"),"TVA-ÉTRANGÈRE ",""),""))</f>
        <v/>
      </c>
      <c r="AR34" s="18" t="str">
        <f aca="false">IF($Y34=1,COUNTIFS($A$6:$A$205,$A34,$AK$6:$AK$205,"&lt;"&amp;$AK34,$Y$6:$Y$205,1)+1,"")</f>
        <v/>
      </c>
      <c r="AS34" s="18" t="str">
        <f aca="false">IF(ISNUMBER($AR34),$A34&amp;"|"&amp;$AR34,"")</f>
        <v/>
      </c>
      <c r="AT34" s="27" t="str">
        <f aca="false">IF($Y34=1,$AK34*$I34*$M34,"")</f>
        <v/>
      </c>
    </row>
    <row r="35" customFormat="false" ht="15" hidden="false" customHeight="false" outlineLevel="0" collapsed="false">
      <c r="A35" s="9" t="s">
        <v>173</v>
      </c>
      <c r="B35" s="9" t="s">
        <v>174</v>
      </c>
      <c r="C35" s="9" t="s">
        <v>79</v>
      </c>
      <c r="D35" s="9"/>
      <c r="E35" s="9"/>
      <c r="F35" s="9"/>
      <c r="G35" s="9" t="s">
        <v>158</v>
      </c>
      <c r="H35" s="9" t="s">
        <v>172</v>
      </c>
      <c r="I35" s="9"/>
      <c r="J35" s="13"/>
      <c r="K35" s="9"/>
      <c r="L35" s="12"/>
      <c r="M35" s="9"/>
      <c r="N35" s="9"/>
      <c r="O35" s="9"/>
      <c r="P35" s="9"/>
      <c r="Q35" s="16"/>
      <c r="R35" s="13"/>
      <c r="S35" s="9" t="s">
        <v>78</v>
      </c>
      <c r="T35" s="18" t="n">
        <f aca="false">IF($C35="","",IFERROR(INDEX(Fournisseurs!$C$5:$C$24,MATCH($C35,Fournisseurs!$A$5:$A$24,0)),""))</f>
        <v>0</v>
      </c>
      <c r="U35" s="25" t="n">
        <f aca="false">IF($C35="","",IFERROR(INDEX(Fournisseurs!$D$5:$D$24,MATCH($C35,Fournisseurs!$A$5:$A$24,0)),""))</f>
        <v>0</v>
      </c>
      <c r="V35" s="26" t="n">
        <f aca="false">IF($C35="","",IFERROR(INDEX(Fournisseurs!$G$5:$G$24,MATCH($C35,Fournisseurs!$A$5:$A$24,0)),""))</f>
        <v>0</v>
      </c>
      <c r="W35" s="18" t="n">
        <f aca="false">IF($C35="","",IFERROR(INDEX(Fournisseurs!$H$5:$H$24,MATCH($C35,Fournisseurs!$A$5:$A$24,0)),""))</f>
        <v>0</v>
      </c>
      <c r="X35" s="18" t="n">
        <f aca="false">IF($C35="","",IFERROR(INDEX(Fournisseurs!$B$5:$B$24,MATCH($C35,Fournisseurs!$A$5:$A$24,0)),""))</f>
        <v>0</v>
      </c>
      <c r="Y35" s="18" t="n">
        <f aca="false">IF($A35="","",IF(AND($A35&lt;&gt;"",$C35&lt;&gt;"",ISNUMBER($I35),ISNUMBER($J35),ISNUMBER($M35)),IF(AND($I35&gt;=1,$J35&gt;0,OR($K35="HT",$K35="TTC"),$M35&gt;=1,IFERROR(INDEX(Fournisseurs!$T$5:$T$24,MATCH($C35,Fournisseurs!$A$5:$A$24,0)),0)=1),1,0),0))</f>
        <v>0</v>
      </c>
      <c r="Z35" s="27" t="str">
        <f aca="false">IF($Y35=1,$J35*(1-N($L35)),"")</f>
        <v/>
      </c>
      <c r="AA35" s="28" t="str">
        <f aca="false">IF($Y35=1,IF($K35="TTC",$Z35/(1+$V35),$Z35),"")</f>
        <v/>
      </c>
      <c r="AB35" s="28" t="str">
        <f aca="false">IF($Y35=1,IF($K35="TTC",$Z35-$AA35,$AA35*$V35),"")</f>
        <v/>
      </c>
      <c r="AC35" s="27" t="str">
        <f aca="false">IF($Y35=1,$AA35*$U35*$M35,"")</f>
        <v/>
      </c>
      <c r="AD35" s="26" t="str">
        <f aca="false">IF($Y35=1,$AC35/SUMIFS($AC$6:$AC$205,$C$6:$C$205,$C35,$Y$6:$Y$205,1),"")</f>
        <v/>
      </c>
      <c r="AE35" s="28" t="str">
        <f aca="false">IF($Y35=1,(INDEX(Fournisseurs!$J$5:$J$24,MATCH($C35,Fournisseurs!$A$5:$A$24,0))+INDEX(Fournisseurs!$K$5:$K$24,MATCH($C35,Fournisseurs!$A$5:$A$24,0)))*$U35*$AD35/($I35*$M35),"")</f>
        <v/>
      </c>
      <c r="AF35" s="28" t="str">
        <f aca="false">IF($Y35=1,INDEX(Fournisseurs!$L$5:$L$24,MATCH($C35,Fournisseurs!$A$5:$A$24,0))*$AD35/($I35*$M35),"")</f>
        <v/>
      </c>
      <c r="AG35" s="28" t="str">
        <f aca="false">IF($Y35=1,$AA35*$U35/$I35,"")</f>
        <v/>
      </c>
      <c r="AH35" s="28" t="str">
        <f aca="false">IF($Y35=1,$AB35*$U35/$I35,"")</f>
        <v/>
      </c>
      <c r="AI35" s="18" t="str">
        <f aca="false">IF($Y35=1,IF(AND(Paramètres!$B$4="EFFECTIVE",$W35="CH",$AB35&gt;0),1,0),"")</f>
        <v/>
      </c>
      <c r="AJ35" s="28" t="str">
        <f aca="false">IF($Y35=1,IF($X35&lt;&gt;"CH",($AG35+$AE35+$AF35)*Paramètres!$B$14,0),"")</f>
        <v/>
      </c>
      <c r="AK35" s="29" t="str">
        <f aca="false">IF($Y35=1,$AG35+IF($AI35=1,0,$AH35)+$AE35+$AF35+IF(Paramètres!$B$4="NOT_REGISTERED",$AJ35,0),"")</f>
        <v/>
      </c>
      <c r="AL35" s="27" t="str">
        <f aca="false">IF($Y35=1,($AK35+Paramètres!$B$7+Paramètres!$B$8+Paramètres!$B$9+Paramètres!$B$10)/((1-Paramètres!$B$11)/(1+Paramètres!$B$5)-Paramètres!$B$6),"")</f>
        <v/>
      </c>
      <c r="AM35" s="26" t="str">
        <f aca="false">IF(AND($Y35=1,ISNUMBER($R35)),IF($R35&gt;0,$AL35/$R35-1,""),"")</f>
        <v/>
      </c>
      <c r="AN35" s="27" t="str">
        <f aca="false">IF(AND($Y35=1,ISNUMBER($R35)),IF($R35&gt;0,$R35/(1+Paramètres!$B$5)-$AK35-($R35*Paramètres!$B$6+Paramètres!$B$7)-Paramètres!$B$8-Paramètres!$B$9-Paramètres!$B$10,""),"")</f>
        <v/>
      </c>
      <c r="AO35" s="26" t="str">
        <f aca="false">IF(ISNUMBER($AN35),$AN35/($R35/(1+Paramètres!$B$5)),"")</f>
        <v/>
      </c>
      <c r="AP35" s="30" t="str">
        <f aca="false">IF($A35="","",IF($Y35&lt;&gt;1,"INCOMPLET",IF(NOT(ISNUMBER($AM35)),"SANS RÉF. MARCHÉ",IF($AM35&lt;=Paramètres!$B$12,"OK",IF(AND($AO35&gt;=Paramètres!$B$15,$AN35&gt;=Paramètres!$B$16),"À REVOIR","NON RENTABLE")))))</f>
        <v>INCOMPLET</v>
      </c>
      <c r="AQ35" s="18" t="str">
        <f aca="false">TRIM(IF(AND($Y35=1,ISNUMBER($N35)),IF($M35&lt;$N35,"MOQ ",""),"")&amp;IF(AND($Y35=1,ISNUMBER($O35)),IF($O35&lt;$I35*$M35,"DISPO ",""),"")&amp;IF($S35="O","FICTIF ","")&amp;IF($Y35=1,IF(AND($K35="TTC",$W35&lt;&gt;"CH"),"TVA-ÉTRANGÈRE ",""),""))</f>
        <v/>
      </c>
      <c r="AR35" s="18" t="str">
        <f aca="false">IF($Y35=1,COUNTIFS($A$6:$A$205,$A35,$AK$6:$AK$205,"&lt;"&amp;$AK35,$Y$6:$Y$205,1)+1,"")</f>
        <v/>
      </c>
      <c r="AS35" s="18" t="str">
        <f aca="false">IF(ISNUMBER($AR35),$A35&amp;"|"&amp;$AR35,"")</f>
        <v/>
      </c>
      <c r="AT35" s="27" t="str">
        <f aca="false">IF($Y35=1,$AK35*$I35*$M35,"")</f>
        <v/>
      </c>
    </row>
    <row r="36" customFormat="false" ht="15" hidden="false" customHeight="false" outlineLevel="0" collapsed="false">
      <c r="A36" s="9" t="s">
        <v>175</v>
      </c>
      <c r="B36" s="9" t="s">
        <v>176</v>
      </c>
      <c r="C36" s="9" t="s">
        <v>79</v>
      </c>
      <c r="D36" s="9"/>
      <c r="E36" s="9"/>
      <c r="F36" s="9"/>
      <c r="G36" s="9" t="s">
        <v>161</v>
      </c>
      <c r="H36" s="9" t="s">
        <v>177</v>
      </c>
      <c r="I36" s="9"/>
      <c r="J36" s="13"/>
      <c r="K36" s="9"/>
      <c r="L36" s="12"/>
      <c r="M36" s="9"/>
      <c r="N36" s="9"/>
      <c r="O36" s="9"/>
      <c r="P36" s="9"/>
      <c r="Q36" s="16"/>
      <c r="R36" s="13"/>
      <c r="S36" s="9" t="s">
        <v>78</v>
      </c>
      <c r="T36" s="18" t="n">
        <f aca="false">IF($C36="","",IFERROR(INDEX(Fournisseurs!$C$5:$C$24,MATCH($C36,Fournisseurs!$A$5:$A$24,0)),""))</f>
        <v>0</v>
      </c>
      <c r="U36" s="25" t="n">
        <f aca="false">IF($C36="","",IFERROR(INDEX(Fournisseurs!$D$5:$D$24,MATCH($C36,Fournisseurs!$A$5:$A$24,0)),""))</f>
        <v>0</v>
      </c>
      <c r="V36" s="26" t="n">
        <f aca="false">IF($C36="","",IFERROR(INDEX(Fournisseurs!$G$5:$G$24,MATCH($C36,Fournisseurs!$A$5:$A$24,0)),""))</f>
        <v>0</v>
      </c>
      <c r="W36" s="18" t="n">
        <f aca="false">IF($C36="","",IFERROR(INDEX(Fournisseurs!$H$5:$H$24,MATCH($C36,Fournisseurs!$A$5:$A$24,0)),""))</f>
        <v>0</v>
      </c>
      <c r="X36" s="18" t="n">
        <f aca="false">IF($C36="","",IFERROR(INDEX(Fournisseurs!$B$5:$B$24,MATCH($C36,Fournisseurs!$A$5:$A$24,0)),""))</f>
        <v>0</v>
      </c>
      <c r="Y36" s="18" t="n">
        <f aca="false">IF($A36="","",IF(AND($A36&lt;&gt;"",$C36&lt;&gt;"",ISNUMBER($I36),ISNUMBER($J36),ISNUMBER($M36)),IF(AND($I36&gt;=1,$J36&gt;0,OR($K36="HT",$K36="TTC"),$M36&gt;=1,IFERROR(INDEX(Fournisseurs!$T$5:$T$24,MATCH($C36,Fournisseurs!$A$5:$A$24,0)),0)=1),1,0),0))</f>
        <v>0</v>
      </c>
      <c r="Z36" s="27" t="str">
        <f aca="false">IF($Y36=1,$J36*(1-N($L36)),"")</f>
        <v/>
      </c>
      <c r="AA36" s="28" t="str">
        <f aca="false">IF($Y36=1,IF($K36="TTC",$Z36/(1+$V36),$Z36),"")</f>
        <v/>
      </c>
      <c r="AB36" s="28" t="str">
        <f aca="false">IF($Y36=1,IF($K36="TTC",$Z36-$AA36,$AA36*$V36),"")</f>
        <v/>
      </c>
      <c r="AC36" s="27" t="str">
        <f aca="false">IF($Y36=1,$AA36*$U36*$M36,"")</f>
        <v/>
      </c>
      <c r="AD36" s="26" t="str">
        <f aca="false">IF($Y36=1,$AC36/SUMIFS($AC$6:$AC$205,$C$6:$C$205,$C36,$Y$6:$Y$205,1),"")</f>
        <v/>
      </c>
      <c r="AE36" s="28" t="str">
        <f aca="false">IF($Y36=1,(INDEX(Fournisseurs!$J$5:$J$24,MATCH($C36,Fournisseurs!$A$5:$A$24,0))+INDEX(Fournisseurs!$K$5:$K$24,MATCH($C36,Fournisseurs!$A$5:$A$24,0)))*$U36*$AD36/($I36*$M36),"")</f>
        <v/>
      </c>
      <c r="AF36" s="28" t="str">
        <f aca="false">IF($Y36=1,INDEX(Fournisseurs!$L$5:$L$24,MATCH($C36,Fournisseurs!$A$5:$A$24,0))*$AD36/($I36*$M36),"")</f>
        <v/>
      </c>
      <c r="AG36" s="28" t="str">
        <f aca="false">IF($Y36=1,$AA36*$U36/$I36,"")</f>
        <v/>
      </c>
      <c r="AH36" s="28" t="str">
        <f aca="false">IF($Y36=1,$AB36*$U36/$I36,"")</f>
        <v/>
      </c>
      <c r="AI36" s="18" t="str">
        <f aca="false">IF($Y36=1,IF(AND(Paramètres!$B$4="EFFECTIVE",$W36="CH",$AB36&gt;0),1,0),"")</f>
        <v/>
      </c>
      <c r="AJ36" s="28" t="str">
        <f aca="false">IF($Y36=1,IF($X36&lt;&gt;"CH",($AG36+$AE36+$AF36)*Paramètres!$B$14,0),"")</f>
        <v/>
      </c>
      <c r="AK36" s="29" t="str">
        <f aca="false">IF($Y36=1,$AG36+IF($AI36=1,0,$AH36)+$AE36+$AF36+IF(Paramètres!$B$4="NOT_REGISTERED",$AJ36,0),"")</f>
        <v/>
      </c>
      <c r="AL36" s="27" t="str">
        <f aca="false">IF($Y36=1,($AK36+Paramètres!$B$7+Paramètres!$B$8+Paramètres!$B$9+Paramètres!$B$10)/((1-Paramètres!$B$11)/(1+Paramètres!$B$5)-Paramètres!$B$6),"")</f>
        <v/>
      </c>
      <c r="AM36" s="26" t="str">
        <f aca="false">IF(AND($Y36=1,ISNUMBER($R36)),IF($R36&gt;0,$AL36/$R36-1,""),"")</f>
        <v/>
      </c>
      <c r="AN36" s="27" t="str">
        <f aca="false">IF(AND($Y36=1,ISNUMBER($R36)),IF($R36&gt;0,$R36/(1+Paramètres!$B$5)-$AK36-($R36*Paramètres!$B$6+Paramètres!$B$7)-Paramètres!$B$8-Paramètres!$B$9-Paramètres!$B$10,""),"")</f>
        <v/>
      </c>
      <c r="AO36" s="26" t="str">
        <f aca="false">IF(ISNUMBER($AN36),$AN36/($R36/(1+Paramètres!$B$5)),"")</f>
        <v/>
      </c>
      <c r="AP36" s="30" t="str">
        <f aca="false">IF($A36="","",IF($Y36&lt;&gt;1,"INCOMPLET",IF(NOT(ISNUMBER($AM36)),"SANS RÉF. MARCHÉ",IF($AM36&lt;=Paramètres!$B$12,"OK",IF(AND($AO36&gt;=Paramètres!$B$15,$AN36&gt;=Paramètres!$B$16),"À REVOIR","NON RENTABLE")))))</f>
        <v>INCOMPLET</v>
      </c>
      <c r="AQ36" s="18" t="str">
        <f aca="false">TRIM(IF(AND($Y36=1,ISNUMBER($N36)),IF($M36&lt;$N36,"MOQ ",""),"")&amp;IF(AND($Y36=1,ISNUMBER($O36)),IF($O36&lt;$I36*$M36,"DISPO ",""),"")&amp;IF($S36="O","FICTIF ","")&amp;IF($Y36=1,IF(AND($K36="TTC",$W36&lt;&gt;"CH"),"TVA-ÉTRANGÈRE ",""),""))</f>
        <v/>
      </c>
      <c r="AR36" s="18" t="str">
        <f aca="false">IF($Y36=1,COUNTIFS($A$6:$A$205,$A36,$AK$6:$AK$205,"&lt;"&amp;$AK36,$Y$6:$Y$205,1)+1,"")</f>
        <v/>
      </c>
      <c r="AS36" s="18" t="str">
        <f aca="false">IF(ISNUMBER($AR36),$A36&amp;"|"&amp;$AR36,"")</f>
        <v/>
      </c>
      <c r="AT36" s="27" t="str">
        <f aca="false">IF($Y36=1,$AK36*$I36*$M36,"")</f>
        <v/>
      </c>
    </row>
    <row r="37" customFormat="false" ht="15" hidden="false" customHeight="false" outlineLevel="0" collapsed="false">
      <c r="A37" s="9" t="s">
        <v>178</v>
      </c>
      <c r="B37" s="9" t="s">
        <v>179</v>
      </c>
      <c r="C37" s="9" t="s">
        <v>79</v>
      </c>
      <c r="D37" s="9"/>
      <c r="E37" s="9"/>
      <c r="F37" s="9"/>
      <c r="G37" s="9" t="s">
        <v>180</v>
      </c>
      <c r="H37" s="9" t="s">
        <v>177</v>
      </c>
      <c r="I37" s="9"/>
      <c r="J37" s="13"/>
      <c r="K37" s="9"/>
      <c r="L37" s="12"/>
      <c r="M37" s="9"/>
      <c r="N37" s="9"/>
      <c r="O37" s="9"/>
      <c r="P37" s="9"/>
      <c r="Q37" s="16"/>
      <c r="R37" s="13"/>
      <c r="S37" s="9" t="s">
        <v>78</v>
      </c>
      <c r="T37" s="18" t="n">
        <f aca="false">IF($C37="","",IFERROR(INDEX(Fournisseurs!$C$5:$C$24,MATCH($C37,Fournisseurs!$A$5:$A$24,0)),""))</f>
        <v>0</v>
      </c>
      <c r="U37" s="25" t="n">
        <f aca="false">IF($C37="","",IFERROR(INDEX(Fournisseurs!$D$5:$D$24,MATCH($C37,Fournisseurs!$A$5:$A$24,0)),""))</f>
        <v>0</v>
      </c>
      <c r="V37" s="26" t="n">
        <f aca="false">IF($C37="","",IFERROR(INDEX(Fournisseurs!$G$5:$G$24,MATCH($C37,Fournisseurs!$A$5:$A$24,0)),""))</f>
        <v>0</v>
      </c>
      <c r="W37" s="18" t="n">
        <f aca="false">IF($C37="","",IFERROR(INDEX(Fournisseurs!$H$5:$H$24,MATCH($C37,Fournisseurs!$A$5:$A$24,0)),""))</f>
        <v>0</v>
      </c>
      <c r="X37" s="18" t="n">
        <f aca="false">IF($C37="","",IFERROR(INDEX(Fournisseurs!$B$5:$B$24,MATCH($C37,Fournisseurs!$A$5:$A$24,0)),""))</f>
        <v>0</v>
      </c>
      <c r="Y37" s="18" t="n">
        <f aca="false">IF($A37="","",IF(AND($A37&lt;&gt;"",$C37&lt;&gt;"",ISNUMBER($I37),ISNUMBER($J37),ISNUMBER($M37)),IF(AND($I37&gt;=1,$J37&gt;0,OR($K37="HT",$K37="TTC"),$M37&gt;=1,IFERROR(INDEX(Fournisseurs!$T$5:$T$24,MATCH($C37,Fournisseurs!$A$5:$A$24,0)),0)=1),1,0),0))</f>
        <v>0</v>
      </c>
      <c r="Z37" s="27" t="str">
        <f aca="false">IF($Y37=1,$J37*(1-N($L37)),"")</f>
        <v/>
      </c>
      <c r="AA37" s="28" t="str">
        <f aca="false">IF($Y37=1,IF($K37="TTC",$Z37/(1+$V37),$Z37),"")</f>
        <v/>
      </c>
      <c r="AB37" s="28" t="str">
        <f aca="false">IF($Y37=1,IF($K37="TTC",$Z37-$AA37,$AA37*$V37),"")</f>
        <v/>
      </c>
      <c r="AC37" s="27" t="str">
        <f aca="false">IF($Y37=1,$AA37*$U37*$M37,"")</f>
        <v/>
      </c>
      <c r="AD37" s="26" t="str">
        <f aca="false">IF($Y37=1,$AC37/SUMIFS($AC$6:$AC$205,$C$6:$C$205,$C37,$Y$6:$Y$205,1),"")</f>
        <v/>
      </c>
      <c r="AE37" s="28" t="str">
        <f aca="false">IF($Y37=1,(INDEX(Fournisseurs!$J$5:$J$24,MATCH($C37,Fournisseurs!$A$5:$A$24,0))+INDEX(Fournisseurs!$K$5:$K$24,MATCH($C37,Fournisseurs!$A$5:$A$24,0)))*$U37*$AD37/($I37*$M37),"")</f>
        <v/>
      </c>
      <c r="AF37" s="28" t="str">
        <f aca="false">IF($Y37=1,INDEX(Fournisseurs!$L$5:$L$24,MATCH($C37,Fournisseurs!$A$5:$A$24,0))*$AD37/($I37*$M37),"")</f>
        <v/>
      </c>
      <c r="AG37" s="28" t="str">
        <f aca="false">IF($Y37=1,$AA37*$U37/$I37,"")</f>
        <v/>
      </c>
      <c r="AH37" s="28" t="str">
        <f aca="false">IF($Y37=1,$AB37*$U37/$I37,"")</f>
        <v/>
      </c>
      <c r="AI37" s="18" t="str">
        <f aca="false">IF($Y37=1,IF(AND(Paramètres!$B$4="EFFECTIVE",$W37="CH",$AB37&gt;0),1,0),"")</f>
        <v/>
      </c>
      <c r="AJ37" s="28" t="str">
        <f aca="false">IF($Y37=1,IF($X37&lt;&gt;"CH",($AG37+$AE37+$AF37)*Paramètres!$B$14,0),"")</f>
        <v/>
      </c>
      <c r="AK37" s="29" t="str">
        <f aca="false">IF($Y37=1,$AG37+IF($AI37=1,0,$AH37)+$AE37+$AF37+IF(Paramètres!$B$4="NOT_REGISTERED",$AJ37,0),"")</f>
        <v/>
      </c>
      <c r="AL37" s="27" t="str">
        <f aca="false">IF($Y37=1,($AK37+Paramètres!$B$7+Paramètres!$B$8+Paramètres!$B$9+Paramètres!$B$10)/((1-Paramètres!$B$11)/(1+Paramètres!$B$5)-Paramètres!$B$6),"")</f>
        <v/>
      </c>
      <c r="AM37" s="26" t="str">
        <f aca="false">IF(AND($Y37=1,ISNUMBER($R37)),IF($R37&gt;0,$AL37/$R37-1,""),"")</f>
        <v/>
      </c>
      <c r="AN37" s="27" t="str">
        <f aca="false">IF(AND($Y37=1,ISNUMBER($R37)),IF($R37&gt;0,$R37/(1+Paramètres!$B$5)-$AK37-($R37*Paramètres!$B$6+Paramètres!$B$7)-Paramètres!$B$8-Paramètres!$B$9-Paramètres!$B$10,""),"")</f>
        <v/>
      </c>
      <c r="AO37" s="26" t="str">
        <f aca="false">IF(ISNUMBER($AN37),$AN37/($R37/(1+Paramètres!$B$5)),"")</f>
        <v/>
      </c>
      <c r="AP37" s="30" t="str">
        <f aca="false">IF($A37="","",IF($Y37&lt;&gt;1,"INCOMPLET",IF(NOT(ISNUMBER($AM37)),"SANS RÉF. MARCHÉ",IF($AM37&lt;=Paramètres!$B$12,"OK",IF(AND($AO37&gt;=Paramètres!$B$15,$AN37&gt;=Paramètres!$B$16),"À REVOIR","NON RENTABLE")))))</f>
        <v>INCOMPLET</v>
      </c>
      <c r="AQ37" s="18" t="str">
        <f aca="false">TRIM(IF(AND($Y37=1,ISNUMBER($N37)),IF($M37&lt;$N37,"MOQ ",""),"")&amp;IF(AND($Y37=1,ISNUMBER($O37)),IF($O37&lt;$I37*$M37,"DISPO ",""),"")&amp;IF($S37="O","FICTIF ","")&amp;IF($Y37=1,IF(AND($K37="TTC",$W37&lt;&gt;"CH"),"TVA-ÉTRANGÈRE ",""),""))</f>
        <v/>
      </c>
      <c r="AR37" s="18" t="str">
        <f aca="false">IF($Y37=1,COUNTIFS($A$6:$A$205,$A37,$AK$6:$AK$205,"&lt;"&amp;$AK37,$Y$6:$Y$205,1)+1,"")</f>
        <v/>
      </c>
      <c r="AS37" s="18" t="str">
        <f aca="false">IF(ISNUMBER($AR37),$A37&amp;"|"&amp;$AR37,"")</f>
        <v/>
      </c>
      <c r="AT37" s="27" t="str">
        <f aca="false">IF($Y37=1,$AK37*$I37*$M37,"")</f>
        <v/>
      </c>
    </row>
    <row r="38" customFormat="false" ht="15" hidden="false" customHeight="false" outlineLevel="0" collapsed="false">
      <c r="A38" s="9" t="s">
        <v>181</v>
      </c>
      <c r="B38" s="9" t="s">
        <v>182</v>
      </c>
      <c r="C38" s="9" t="s">
        <v>79</v>
      </c>
      <c r="D38" s="9"/>
      <c r="E38" s="9"/>
      <c r="F38" s="9"/>
      <c r="G38" s="9"/>
      <c r="H38" s="9" t="s">
        <v>183</v>
      </c>
      <c r="I38" s="9"/>
      <c r="J38" s="13"/>
      <c r="K38" s="9"/>
      <c r="L38" s="12"/>
      <c r="M38" s="9"/>
      <c r="N38" s="9"/>
      <c r="O38" s="9"/>
      <c r="P38" s="9"/>
      <c r="Q38" s="16"/>
      <c r="R38" s="13"/>
      <c r="S38" s="9" t="s">
        <v>78</v>
      </c>
      <c r="T38" s="18" t="n">
        <f aca="false">IF($C38="","",IFERROR(INDEX(Fournisseurs!$C$5:$C$24,MATCH($C38,Fournisseurs!$A$5:$A$24,0)),""))</f>
        <v>0</v>
      </c>
      <c r="U38" s="25" t="n">
        <f aca="false">IF($C38="","",IFERROR(INDEX(Fournisseurs!$D$5:$D$24,MATCH($C38,Fournisseurs!$A$5:$A$24,0)),""))</f>
        <v>0</v>
      </c>
      <c r="V38" s="26" t="n">
        <f aca="false">IF($C38="","",IFERROR(INDEX(Fournisseurs!$G$5:$G$24,MATCH($C38,Fournisseurs!$A$5:$A$24,0)),""))</f>
        <v>0</v>
      </c>
      <c r="W38" s="18" t="n">
        <f aca="false">IF($C38="","",IFERROR(INDEX(Fournisseurs!$H$5:$H$24,MATCH($C38,Fournisseurs!$A$5:$A$24,0)),""))</f>
        <v>0</v>
      </c>
      <c r="X38" s="18" t="n">
        <f aca="false">IF($C38="","",IFERROR(INDEX(Fournisseurs!$B$5:$B$24,MATCH($C38,Fournisseurs!$A$5:$A$24,0)),""))</f>
        <v>0</v>
      </c>
      <c r="Y38" s="18" t="n">
        <f aca="false">IF($A38="","",IF(AND($A38&lt;&gt;"",$C38&lt;&gt;"",ISNUMBER($I38),ISNUMBER($J38),ISNUMBER($M38)),IF(AND($I38&gt;=1,$J38&gt;0,OR($K38="HT",$K38="TTC"),$M38&gt;=1,IFERROR(INDEX(Fournisseurs!$T$5:$T$24,MATCH($C38,Fournisseurs!$A$5:$A$24,0)),0)=1),1,0),0))</f>
        <v>0</v>
      </c>
      <c r="Z38" s="27" t="str">
        <f aca="false">IF($Y38=1,$J38*(1-N($L38)),"")</f>
        <v/>
      </c>
      <c r="AA38" s="28" t="str">
        <f aca="false">IF($Y38=1,IF($K38="TTC",$Z38/(1+$V38),$Z38),"")</f>
        <v/>
      </c>
      <c r="AB38" s="28" t="str">
        <f aca="false">IF($Y38=1,IF($K38="TTC",$Z38-$AA38,$AA38*$V38),"")</f>
        <v/>
      </c>
      <c r="AC38" s="27" t="str">
        <f aca="false">IF($Y38=1,$AA38*$U38*$M38,"")</f>
        <v/>
      </c>
      <c r="AD38" s="26" t="str">
        <f aca="false">IF($Y38=1,$AC38/SUMIFS($AC$6:$AC$205,$C$6:$C$205,$C38,$Y$6:$Y$205,1),"")</f>
        <v/>
      </c>
      <c r="AE38" s="28" t="str">
        <f aca="false">IF($Y38=1,(INDEX(Fournisseurs!$J$5:$J$24,MATCH($C38,Fournisseurs!$A$5:$A$24,0))+INDEX(Fournisseurs!$K$5:$K$24,MATCH($C38,Fournisseurs!$A$5:$A$24,0)))*$U38*$AD38/($I38*$M38),"")</f>
        <v/>
      </c>
      <c r="AF38" s="28" t="str">
        <f aca="false">IF($Y38=1,INDEX(Fournisseurs!$L$5:$L$24,MATCH($C38,Fournisseurs!$A$5:$A$24,0))*$AD38/($I38*$M38),"")</f>
        <v/>
      </c>
      <c r="AG38" s="28" t="str">
        <f aca="false">IF($Y38=1,$AA38*$U38/$I38,"")</f>
        <v/>
      </c>
      <c r="AH38" s="28" t="str">
        <f aca="false">IF($Y38=1,$AB38*$U38/$I38,"")</f>
        <v/>
      </c>
      <c r="AI38" s="18" t="str">
        <f aca="false">IF($Y38=1,IF(AND(Paramètres!$B$4="EFFECTIVE",$W38="CH",$AB38&gt;0),1,0),"")</f>
        <v/>
      </c>
      <c r="AJ38" s="28" t="str">
        <f aca="false">IF($Y38=1,IF($X38&lt;&gt;"CH",($AG38+$AE38+$AF38)*Paramètres!$B$14,0),"")</f>
        <v/>
      </c>
      <c r="AK38" s="29" t="str">
        <f aca="false">IF($Y38=1,$AG38+IF($AI38=1,0,$AH38)+$AE38+$AF38+IF(Paramètres!$B$4="NOT_REGISTERED",$AJ38,0),"")</f>
        <v/>
      </c>
      <c r="AL38" s="27" t="str">
        <f aca="false">IF($Y38=1,($AK38+Paramètres!$B$7+Paramètres!$B$8+Paramètres!$B$9+Paramètres!$B$10)/((1-Paramètres!$B$11)/(1+Paramètres!$B$5)-Paramètres!$B$6),"")</f>
        <v/>
      </c>
      <c r="AM38" s="26" t="str">
        <f aca="false">IF(AND($Y38=1,ISNUMBER($R38)),IF($R38&gt;0,$AL38/$R38-1,""),"")</f>
        <v/>
      </c>
      <c r="AN38" s="27" t="str">
        <f aca="false">IF(AND($Y38=1,ISNUMBER($R38)),IF($R38&gt;0,$R38/(1+Paramètres!$B$5)-$AK38-($R38*Paramètres!$B$6+Paramètres!$B$7)-Paramètres!$B$8-Paramètres!$B$9-Paramètres!$B$10,""),"")</f>
        <v/>
      </c>
      <c r="AO38" s="26" t="str">
        <f aca="false">IF(ISNUMBER($AN38),$AN38/($R38/(1+Paramètres!$B$5)),"")</f>
        <v/>
      </c>
      <c r="AP38" s="30" t="str">
        <f aca="false">IF($A38="","",IF($Y38&lt;&gt;1,"INCOMPLET",IF(NOT(ISNUMBER($AM38)),"SANS RÉF. MARCHÉ",IF($AM38&lt;=Paramètres!$B$12,"OK",IF(AND($AO38&gt;=Paramètres!$B$15,$AN38&gt;=Paramètres!$B$16),"À REVOIR","NON RENTABLE")))))</f>
        <v>INCOMPLET</v>
      </c>
      <c r="AQ38" s="18" t="str">
        <f aca="false">TRIM(IF(AND($Y38=1,ISNUMBER($N38)),IF($M38&lt;$N38,"MOQ ",""),"")&amp;IF(AND($Y38=1,ISNUMBER($O38)),IF($O38&lt;$I38*$M38,"DISPO ",""),"")&amp;IF($S38="O","FICTIF ","")&amp;IF($Y38=1,IF(AND($K38="TTC",$W38&lt;&gt;"CH"),"TVA-ÉTRANGÈRE ",""),""))</f>
        <v/>
      </c>
      <c r="AR38" s="18" t="str">
        <f aca="false">IF($Y38=1,COUNTIFS($A$6:$A$205,$A38,$AK$6:$AK$205,"&lt;"&amp;$AK38,$Y$6:$Y$205,1)+1,"")</f>
        <v/>
      </c>
      <c r="AS38" s="18" t="str">
        <f aca="false">IF(ISNUMBER($AR38),$A38&amp;"|"&amp;$AR38,"")</f>
        <v/>
      </c>
      <c r="AT38" s="27" t="str">
        <f aca="false">IF($Y38=1,$AK38*$I38*$M38,"")</f>
        <v/>
      </c>
    </row>
    <row r="39" customFormat="false" ht="15" hidden="false" customHeight="false" outlineLevel="0" collapsed="false">
      <c r="A39" s="9" t="s">
        <v>184</v>
      </c>
      <c r="B39" s="9" t="s">
        <v>185</v>
      </c>
      <c r="C39" s="9" t="s">
        <v>79</v>
      </c>
      <c r="D39" s="9"/>
      <c r="E39" s="9"/>
      <c r="F39" s="9"/>
      <c r="G39" s="9"/>
      <c r="H39" s="9" t="s">
        <v>183</v>
      </c>
      <c r="I39" s="9"/>
      <c r="J39" s="13"/>
      <c r="K39" s="9"/>
      <c r="L39" s="12"/>
      <c r="M39" s="9"/>
      <c r="N39" s="9"/>
      <c r="O39" s="9"/>
      <c r="P39" s="9"/>
      <c r="Q39" s="16"/>
      <c r="R39" s="13"/>
      <c r="S39" s="9" t="s">
        <v>78</v>
      </c>
      <c r="T39" s="18" t="n">
        <f aca="false">IF($C39="","",IFERROR(INDEX(Fournisseurs!$C$5:$C$24,MATCH($C39,Fournisseurs!$A$5:$A$24,0)),""))</f>
        <v>0</v>
      </c>
      <c r="U39" s="25" t="n">
        <f aca="false">IF($C39="","",IFERROR(INDEX(Fournisseurs!$D$5:$D$24,MATCH($C39,Fournisseurs!$A$5:$A$24,0)),""))</f>
        <v>0</v>
      </c>
      <c r="V39" s="26" t="n">
        <f aca="false">IF($C39="","",IFERROR(INDEX(Fournisseurs!$G$5:$G$24,MATCH($C39,Fournisseurs!$A$5:$A$24,0)),""))</f>
        <v>0</v>
      </c>
      <c r="W39" s="18" t="n">
        <f aca="false">IF($C39="","",IFERROR(INDEX(Fournisseurs!$H$5:$H$24,MATCH($C39,Fournisseurs!$A$5:$A$24,0)),""))</f>
        <v>0</v>
      </c>
      <c r="X39" s="18" t="n">
        <f aca="false">IF($C39="","",IFERROR(INDEX(Fournisseurs!$B$5:$B$24,MATCH($C39,Fournisseurs!$A$5:$A$24,0)),""))</f>
        <v>0</v>
      </c>
      <c r="Y39" s="18" t="n">
        <f aca="false">IF($A39="","",IF(AND($A39&lt;&gt;"",$C39&lt;&gt;"",ISNUMBER($I39),ISNUMBER($J39),ISNUMBER($M39)),IF(AND($I39&gt;=1,$J39&gt;0,OR($K39="HT",$K39="TTC"),$M39&gt;=1,IFERROR(INDEX(Fournisseurs!$T$5:$T$24,MATCH($C39,Fournisseurs!$A$5:$A$24,0)),0)=1),1,0),0))</f>
        <v>0</v>
      </c>
      <c r="Z39" s="27" t="str">
        <f aca="false">IF($Y39=1,$J39*(1-N($L39)),"")</f>
        <v/>
      </c>
      <c r="AA39" s="28" t="str">
        <f aca="false">IF($Y39=1,IF($K39="TTC",$Z39/(1+$V39),$Z39),"")</f>
        <v/>
      </c>
      <c r="AB39" s="28" t="str">
        <f aca="false">IF($Y39=1,IF($K39="TTC",$Z39-$AA39,$AA39*$V39),"")</f>
        <v/>
      </c>
      <c r="AC39" s="27" t="str">
        <f aca="false">IF($Y39=1,$AA39*$U39*$M39,"")</f>
        <v/>
      </c>
      <c r="AD39" s="26" t="str">
        <f aca="false">IF($Y39=1,$AC39/SUMIFS($AC$6:$AC$205,$C$6:$C$205,$C39,$Y$6:$Y$205,1),"")</f>
        <v/>
      </c>
      <c r="AE39" s="28" t="str">
        <f aca="false">IF($Y39=1,(INDEX(Fournisseurs!$J$5:$J$24,MATCH($C39,Fournisseurs!$A$5:$A$24,0))+INDEX(Fournisseurs!$K$5:$K$24,MATCH($C39,Fournisseurs!$A$5:$A$24,0)))*$U39*$AD39/($I39*$M39),"")</f>
        <v/>
      </c>
      <c r="AF39" s="28" t="str">
        <f aca="false">IF($Y39=1,INDEX(Fournisseurs!$L$5:$L$24,MATCH($C39,Fournisseurs!$A$5:$A$24,0))*$AD39/($I39*$M39),"")</f>
        <v/>
      </c>
      <c r="AG39" s="28" t="str">
        <f aca="false">IF($Y39=1,$AA39*$U39/$I39,"")</f>
        <v/>
      </c>
      <c r="AH39" s="28" t="str">
        <f aca="false">IF($Y39=1,$AB39*$U39/$I39,"")</f>
        <v/>
      </c>
      <c r="AI39" s="18" t="str">
        <f aca="false">IF($Y39=1,IF(AND(Paramètres!$B$4="EFFECTIVE",$W39="CH",$AB39&gt;0),1,0),"")</f>
        <v/>
      </c>
      <c r="AJ39" s="28" t="str">
        <f aca="false">IF($Y39=1,IF($X39&lt;&gt;"CH",($AG39+$AE39+$AF39)*Paramètres!$B$14,0),"")</f>
        <v/>
      </c>
      <c r="AK39" s="29" t="str">
        <f aca="false">IF($Y39=1,$AG39+IF($AI39=1,0,$AH39)+$AE39+$AF39+IF(Paramètres!$B$4="NOT_REGISTERED",$AJ39,0),"")</f>
        <v/>
      </c>
      <c r="AL39" s="27" t="str">
        <f aca="false">IF($Y39=1,($AK39+Paramètres!$B$7+Paramètres!$B$8+Paramètres!$B$9+Paramètres!$B$10)/((1-Paramètres!$B$11)/(1+Paramètres!$B$5)-Paramètres!$B$6),"")</f>
        <v/>
      </c>
      <c r="AM39" s="26" t="str">
        <f aca="false">IF(AND($Y39=1,ISNUMBER($R39)),IF($R39&gt;0,$AL39/$R39-1,""),"")</f>
        <v/>
      </c>
      <c r="AN39" s="27" t="str">
        <f aca="false">IF(AND($Y39=1,ISNUMBER($R39)),IF($R39&gt;0,$R39/(1+Paramètres!$B$5)-$AK39-($R39*Paramètres!$B$6+Paramètres!$B$7)-Paramètres!$B$8-Paramètres!$B$9-Paramètres!$B$10,""),"")</f>
        <v/>
      </c>
      <c r="AO39" s="26" t="str">
        <f aca="false">IF(ISNUMBER($AN39),$AN39/($R39/(1+Paramètres!$B$5)),"")</f>
        <v/>
      </c>
      <c r="AP39" s="30" t="str">
        <f aca="false">IF($A39="","",IF($Y39&lt;&gt;1,"INCOMPLET",IF(NOT(ISNUMBER($AM39)),"SANS RÉF. MARCHÉ",IF($AM39&lt;=Paramètres!$B$12,"OK",IF(AND($AO39&gt;=Paramètres!$B$15,$AN39&gt;=Paramètres!$B$16),"À REVOIR","NON RENTABLE")))))</f>
        <v>INCOMPLET</v>
      </c>
      <c r="AQ39" s="18" t="str">
        <f aca="false">TRIM(IF(AND($Y39=1,ISNUMBER($N39)),IF($M39&lt;$N39,"MOQ ",""),"")&amp;IF(AND($Y39=1,ISNUMBER($O39)),IF($O39&lt;$I39*$M39,"DISPO ",""),"")&amp;IF($S39="O","FICTIF ","")&amp;IF($Y39=1,IF(AND($K39="TTC",$W39&lt;&gt;"CH"),"TVA-ÉTRANGÈRE ",""),""))</f>
        <v/>
      </c>
      <c r="AR39" s="18" t="str">
        <f aca="false">IF($Y39=1,COUNTIFS($A$6:$A$205,$A39,$AK$6:$AK$205,"&lt;"&amp;$AK39,$Y$6:$Y$205,1)+1,"")</f>
        <v/>
      </c>
      <c r="AS39" s="18" t="str">
        <f aca="false">IF(ISNUMBER($AR39),$A39&amp;"|"&amp;$AR39,"")</f>
        <v/>
      </c>
      <c r="AT39" s="27" t="str">
        <f aca="false">IF($Y39=1,$AK39*$I39*$M39,"")</f>
        <v/>
      </c>
    </row>
    <row r="40" customFormat="false" ht="15" hidden="false" customHeight="false" outlineLevel="0" collapsed="false">
      <c r="A40" s="9" t="s">
        <v>186</v>
      </c>
      <c r="B40" s="9" t="s">
        <v>187</v>
      </c>
      <c r="C40" s="9" t="s">
        <v>79</v>
      </c>
      <c r="D40" s="9"/>
      <c r="E40" s="9"/>
      <c r="F40" s="9"/>
      <c r="G40" s="9" t="s">
        <v>161</v>
      </c>
      <c r="H40" s="9" t="s">
        <v>177</v>
      </c>
      <c r="I40" s="9"/>
      <c r="J40" s="13"/>
      <c r="K40" s="9"/>
      <c r="L40" s="12"/>
      <c r="M40" s="9"/>
      <c r="N40" s="9"/>
      <c r="O40" s="9"/>
      <c r="P40" s="9"/>
      <c r="Q40" s="16"/>
      <c r="R40" s="13"/>
      <c r="S40" s="9" t="s">
        <v>78</v>
      </c>
      <c r="T40" s="18" t="n">
        <f aca="false">IF($C40="","",IFERROR(INDEX(Fournisseurs!$C$5:$C$24,MATCH($C40,Fournisseurs!$A$5:$A$24,0)),""))</f>
        <v>0</v>
      </c>
      <c r="U40" s="25" t="n">
        <f aca="false">IF($C40="","",IFERROR(INDEX(Fournisseurs!$D$5:$D$24,MATCH($C40,Fournisseurs!$A$5:$A$24,0)),""))</f>
        <v>0</v>
      </c>
      <c r="V40" s="26" t="n">
        <f aca="false">IF($C40="","",IFERROR(INDEX(Fournisseurs!$G$5:$G$24,MATCH($C40,Fournisseurs!$A$5:$A$24,0)),""))</f>
        <v>0</v>
      </c>
      <c r="W40" s="18" t="n">
        <f aca="false">IF($C40="","",IFERROR(INDEX(Fournisseurs!$H$5:$H$24,MATCH($C40,Fournisseurs!$A$5:$A$24,0)),""))</f>
        <v>0</v>
      </c>
      <c r="X40" s="18" t="n">
        <f aca="false">IF($C40="","",IFERROR(INDEX(Fournisseurs!$B$5:$B$24,MATCH($C40,Fournisseurs!$A$5:$A$24,0)),""))</f>
        <v>0</v>
      </c>
      <c r="Y40" s="18" t="n">
        <f aca="false">IF($A40="","",IF(AND($A40&lt;&gt;"",$C40&lt;&gt;"",ISNUMBER($I40),ISNUMBER($J40),ISNUMBER($M40)),IF(AND($I40&gt;=1,$J40&gt;0,OR($K40="HT",$K40="TTC"),$M40&gt;=1,IFERROR(INDEX(Fournisseurs!$T$5:$T$24,MATCH($C40,Fournisseurs!$A$5:$A$24,0)),0)=1),1,0),0))</f>
        <v>0</v>
      </c>
      <c r="Z40" s="27" t="str">
        <f aca="false">IF($Y40=1,$J40*(1-N($L40)),"")</f>
        <v/>
      </c>
      <c r="AA40" s="28" t="str">
        <f aca="false">IF($Y40=1,IF($K40="TTC",$Z40/(1+$V40),$Z40),"")</f>
        <v/>
      </c>
      <c r="AB40" s="28" t="str">
        <f aca="false">IF($Y40=1,IF($K40="TTC",$Z40-$AA40,$AA40*$V40),"")</f>
        <v/>
      </c>
      <c r="AC40" s="27" t="str">
        <f aca="false">IF($Y40=1,$AA40*$U40*$M40,"")</f>
        <v/>
      </c>
      <c r="AD40" s="26" t="str">
        <f aca="false">IF($Y40=1,$AC40/SUMIFS($AC$6:$AC$205,$C$6:$C$205,$C40,$Y$6:$Y$205,1),"")</f>
        <v/>
      </c>
      <c r="AE40" s="28" t="str">
        <f aca="false">IF($Y40=1,(INDEX(Fournisseurs!$J$5:$J$24,MATCH($C40,Fournisseurs!$A$5:$A$24,0))+INDEX(Fournisseurs!$K$5:$K$24,MATCH($C40,Fournisseurs!$A$5:$A$24,0)))*$U40*$AD40/($I40*$M40),"")</f>
        <v/>
      </c>
      <c r="AF40" s="28" t="str">
        <f aca="false">IF($Y40=1,INDEX(Fournisseurs!$L$5:$L$24,MATCH($C40,Fournisseurs!$A$5:$A$24,0))*$AD40/($I40*$M40),"")</f>
        <v/>
      </c>
      <c r="AG40" s="28" t="str">
        <f aca="false">IF($Y40=1,$AA40*$U40/$I40,"")</f>
        <v/>
      </c>
      <c r="AH40" s="28" t="str">
        <f aca="false">IF($Y40=1,$AB40*$U40/$I40,"")</f>
        <v/>
      </c>
      <c r="AI40" s="18" t="str">
        <f aca="false">IF($Y40=1,IF(AND(Paramètres!$B$4="EFFECTIVE",$W40="CH",$AB40&gt;0),1,0),"")</f>
        <v/>
      </c>
      <c r="AJ40" s="28" t="str">
        <f aca="false">IF($Y40=1,IF($X40&lt;&gt;"CH",($AG40+$AE40+$AF40)*Paramètres!$B$14,0),"")</f>
        <v/>
      </c>
      <c r="AK40" s="29" t="str">
        <f aca="false">IF($Y40=1,$AG40+IF($AI40=1,0,$AH40)+$AE40+$AF40+IF(Paramètres!$B$4="NOT_REGISTERED",$AJ40,0),"")</f>
        <v/>
      </c>
      <c r="AL40" s="27" t="str">
        <f aca="false">IF($Y40=1,($AK40+Paramètres!$B$7+Paramètres!$B$8+Paramètres!$B$9+Paramètres!$B$10)/((1-Paramètres!$B$11)/(1+Paramètres!$B$5)-Paramètres!$B$6),"")</f>
        <v/>
      </c>
      <c r="AM40" s="26" t="str">
        <f aca="false">IF(AND($Y40=1,ISNUMBER($R40)),IF($R40&gt;0,$AL40/$R40-1,""),"")</f>
        <v/>
      </c>
      <c r="AN40" s="27" t="str">
        <f aca="false">IF(AND($Y40=1,ISNUMBER($R40)),IF($R40&gt;0,$R40/(1+Paramètres!$B$5)-$AK40-($R40*Paramètres!$B$6+Paramètres!$B$7)-Paramètres!$B$8-Paramètres!$B$9-Paramètres!$B$10,""),"")</f>
        <v/>
      </c>
      <c r="AO40" s="26" t="str">
        <f aca="false">IF(ISNUMBER($AN40),$AN40/($R40/(1+Paramètres!$B$5)),"")</f>
        <v/>
      </c>
      <c r="AP40" s="30" t="str">
        <f aca="false">IF($A40="","",IF($Y40&lt;&gt;1,"INCOMPLET",IF(NOT(ISNUMBER($AM40)),"SANS RÉF. MARCHÉ",IF($AM40&lt;=Paramètres!$B$12,"OK",IF(AND($AO40&gt;=Paramètres!$B$15,$AN40&gt;=Paramètres!$B$16),"À REVOIR","NON RENTABLE")))))</f>
        <v>INCOMPLET</v>
      </c>
      <c r="AQ40" s="18" t="str">
        <f aca="false">TRIM(IF(AND($Y40=1,ISNUMBER($N40)),IF($M40&lt;$N40,"MOQ ",""),"")&amp;IF(AND($Y40=1,ISNUMBER($O40)),IF($O40&lt;$I40*$M40,"DISPO ",""),"")&amp;IF($S40="O","FICTIF ","")&amp;IF($Y40=1,IF(AND($K40="TTC",$W40&lt;&gt;"CH"),"TVA-ÉTRANGÈRE ",""),""))</f>
        <v/>
      </c>
      <c r="AR40" s="18" t="str">
        <f aca="false">IF($Y40=1,COUNTIFS($A$6:$A$205,$A40,$AK$6:$AK$205,"&lt;"&amp;$AK40,$Y$6:$Y$205,1)+1,"")</f>
        <v/>
      </c>
      <c r="AS40" s="18" t="str">
        <f aca="false">IF(ISNUMBER($AR40),$A40&amp;"|"&amp;$AR40,"")</f>
        <v/>
      </c>
      <c r="AT40" s="27" t="str">
        <f aca="false">IF($Y40=1,$AK40*$I40*$M40,"")</f>
        <v/>
      </c>
    </row>
    <row r="41" customFormat="false" ht="15" hidden="false" customHeight="false" outlineLevel="0" collapsed="false">
      <c r="A41" s="9" t="s">
        <v>188</v>
      </c>
      <c r="B41" s="9" t="s">
        <v>189</v>
      </c>
      <c r="C41" s="9" t="s">
        <v>79</v>
      </c>
      <c r="D41" s="9"/>
      <c r="E41" s="9"/>
      <c r="F41" s="9"/>
      <c r="G41" s="9" t="s">
        <v>161</v>
      </c>
      <c r="H41" s="9" t="s">
        <v>177</v>
      </c>
      <c r="I41" s="9"/>
      <c r="J41" s="13"/>
      <c r="K41" s="9"/>
      <c r="L41" s="12"/>
      <c r="M41" s="9"/>
      <c r="N41" s="9"/>
      <c r="O41" s="9"/>
      <c r="P41" s="9"/>
      <c r="Q41" s="16"/>
      <c r="R41" s="13"/>
      <c r="S41" s="9" t="s">
        <v>78</v>
      </c>
      <c r="T41" s="18" t="n">
        <f aca="false">IF($C41="","",IFERROR(INDEX(Fournisseurs!$C$5:$C$24,MATCH($C41,Fournisseurs!$A$5:$A$24,0)),""))</f>
        <v>0</v>
      </c>
      <c r="U41" s="25" t="n">
        <f aca="false">IF($C41="","",IFERROR(INDEX(Fournisseurs!$D$5:$D$24,MATCH($C41,Fournisseurs!$A$5:$A$24,0)),""))</f>
        <v>0</v>
      </c>
      <c r="V41" s="26" t="n">
        <f aca="false">IF($C41="","",IFERROR(INDEX(Fournisseurs!$G$5:$G$24,MATCH($C41,Fournisseurs!$A$5:$A$24,0)),""))</f>
        <v>0</v>
      </c>
      <c r="W41" s="18" t="n">
        <f aca="false">IF($C41="","",IFERROR(INDEX(Fournisseurs!$H$5:$H$24,MATCH($C41,Fournisseurs!$A$5:$A$24,0)),""))</f>
        <v>0</v>
      </c>
      <c r="X41" s="18" t="n">
        <f aca="false">IF($C41="","",IFERROR(INDEX(Fournisseurs!$B$5:$B$24,MATCH($C41,Fournisseurs!$A$5:$A$24,0)),""))</f>
        <v>0</v>
      </c>
      <c r="Y41" s="18" t="n">
        <f aca="false">IF($A41="","",IF(AND($A41&lt;&gt;"",$C41&lt;&gt;"",ISNUMBER($I41),ISNUMBER($J41),ISNUMBER($M41)),IF(AND($I41&gt;=1,$J41&gt;0,OR($K41="HT",$K41="TTC"),$M41&gt;=1,IFERROR(INDEX(Fournisseurs!$T$5:$T$24,MATCH($C41,Fournisseurs!$A$5:$A$24,0)),0)=1),1,0),0))</f>
        <v>0</v>
      </c>
      <c r="Z41" s="27" t="str">
        <f aca="false">IF($Y41=1,$J41*(1-N($L41)),"")</f>
        <v/>
      </c>
      <c r="AA41" s="28" t="str">
        <f aca="false">IF($Y41=1,IF($K41="TTC",$Z41/(1+$V41),$Z41),"")</f>
        <v/>
      </c>
      <c r="AB41" s="28" t="str">
        <f aca="false">IF($Y41=1,IF($K41="TTC",$Z41-$AA41,$AA41*$V41),"")</f>
        <v/>
      </c>
      <c r="AC41" s="27" t="str">
        <f aca="false">IF($Y41=1,$AA41*$U41*$M41,"")</f>
        <v/>
      </c>
      <c r="AD41" s="26" t="str">
        <f aca="false">IF($Y41=1,$AC41/SUMIFS($AC$6:$AC$205,$C$6:$C$205,$C41,$Y$6:$Y$205,1),"")</f>
        <v/>
      </c>
      <c r="AE41" s="28" t="str">
        <f aca="false">IF($Y41=1,(INDEX(Fournisseurs!$J$5:$J$24,MATCH($C41,Fournisseurs!$A$5:$A$24,0))+INDEX(Fournisseurs!$K$5:$K$24,MATCH($C41,Fournisseurs!$A$5:$A$24,0)))*$U41*$AD41/($I41*$M41),"")</f>
        <v/>
      </c>
      <c r="AF41" s="28" t="str">
        <f aca="false">IF($Y41=1,INDEX(Fournisseurs!$L$5:$L$24,MATCH($C41,Fournisseurs!$A$5:$A$24,0))*$AD41/($I41*$M41),"")</f>
        <v/>
      </c>
      <c r="AG41" s="28" t="str">
        <f aca="false">IF($Y41=1,$AA41*$U41/$I41,"")</f>
        <v/>
      </c>
      <c r="AH41" s="28" t="str">
        <f aca="false">IF($Y41=1,$AB41*$U41/$I41,"")</f>
        <v/>
      </c>
      <c r="AI41" s="18" t="str">
        <f aca="false">IF($Y41=1,IF(AND(Paramètres!$B$4="EFFECTIVE",$W41="CH",$AB41&gt;0),1,0),"")</f>
        <v/>
      </c>
      <c r="AJ41" s="28" t="str">
        <f aca="false">IF($Y41=1,IF($X41&lt;&gt;"CH",($AG41+$AE41+$AF41)*Paramètres!$B$14,0),"")</f>
        <v/>
      </c>
      <c r="AK41" s="29" t="str">
        <f aca="false">IF($Y41=1,$AG41+IF($AI41=1,0,$AH41)+$AE41+$AF41+IF(Paramètres!$B$4="NOT_REGISTERED",$AJ41,0),"")</f>
        <v/>
      </c>
      <c r="AL41" s="27" t="str">
        <f aca="false">IF($Y41=1,($AK41+Paramètres!$B$7+Paramètres!$B$8+Paramètres!$B$9+Paramètres!$B$10)/((1-Paramètres!$B$11)/(1+Paramètres!$B$5)-Paramètres!$B$6),"")</f>
        <v/>
      </c>
      <c r="AM41" s="26" t="str">
        <f aca="false">IF(AND($Y41=1,ISNUMBER($R41)),IF($R41&gt;0,$AL41/$R41-1,""),"")</f>
        <v/>
      </c>
      <c r="AN41" s="27" t="str">
        <f aca="false">IF(AND($Y41=1,ISNUMBER($R41)),IF($R41&gt;0,$R41/(1+Paramètres!$B$5)-$AK41-($R41*Paramètres!$B$6+Paramètres!$B$7)-Paramètres!$B$8-Paramètres!$B$9-Paramètres!$B$10,""),"")</f>
        <v/>
      </c>
      <c r="AO41" s="26" t="str">
        <f aca="false">IF(ISNUMBER($AN41),$AN41/($R41/(1+Paramètres!$B$5)),"")</f>
        <v/>
      </c>
      <c r="AP41" s="30" t="str">
        <f aca="false">IF($A41="","",IF($Y41&lt;&gt;1,"INCOMPLET",IF(NOT(ISNUMBER($AM41)),"SANS RÉF. MARCHÉ",IF($AM41&lt;=Paramètres!$B$12,"OK",IF(AND($AO41&gt;=Paramètres!$B$15,$AN41&gt;=Paramètres!$B$16),"À REVOIR","NON RENTABLE")))))</f>
        <v>INCOMPLET</v>
      </c>
      <c r="AQ41" s="18" t="str">
        <f aca="false">TRIM(IF(AND($Y41=1,ISNUMBER($N41)),IF($M41&lt;$N41,"MOQ ",""),"")&amp;IF(AND($Y41=1,ISNUMBER($O41)),IF($O41&lt;$I41*$M41,"DISPO ",""),"")&amp;IF($S41="O","FICTIF ","")&amp;IF($Y41=1,IF(AND($K41="TTC",$W41&lt;&gt;"CH"),"TVA-ÉTRANGÈRE ",""),""))</f>
        <v/>
      </c>
      <c r="AR41" s="18" t="str">
        <f aca="false">IF($Y41=1,COUNTIFS($A$6:$A$205,$A41,$AK$6:$AK$205,"&lt;"&amp;$AK41,$Y$6:$Y$205,1)+1,"")</f>
        <v/>
      </c>
      <c r="AS41" s="18" t="str">
        <f aca="false">IF(ISNUMBER($AR41),$A41&amp;"|"&amp;$AR41,"")</f>
        <v/>
      </c>
      <c r="AT41" s="27" t="str">
        <f aca="false">IF($Y41=1,$AK41*$I41*$M41,"")</f>
        <v/>
      </c>
    </row>
    <row r="42" customFormat="false" ht="15" hidden="false" customHeight="false" outlineLevel="0" collapsed="false">
      <c r="A42" s="9" t="s">
        <v>190</v>
      </c>
      <c r="B42" s="9" t="s">
        <v>191</v>
      </c>
      <c r="C42" s="9" t="s">
        <v>79</v>
      </c>
      <c r="D42" s="9"/>
      <c r="E42" s="9"/>
      <c r="F42" s="9"/>
      <c r="G42" s="9" t="s">
        <v>158</v>
      </c>
      <c r="H42" s="9" t="s">
        <v>148</v>
      </c>
      <c r="I42" s="9"/>
      <c r="J42" s="13"/>
      <c r="K42" s="9"/>
      <c r="L42" s="12"/>
      <c r="M42" s="9"/>
      <c r="N42" s="9"/>
      <c r="O42" s="9"/>
      <c r="P42" s="9"/>
      <c r="Q42" s="16"/>
      <c r="R42" s="13"/>
      <c r="S42" s="9" t="s">
        <v>78</v>
      </c>
      <c r="T42" s="18" t="n">
        <f aca="false">IF($C42="","",IFERROR(INDEX(Fournisseurs!$C$5:$C$24,MATCH($C42,Fournisseurs!$A$5:$A$24,0)),""))</f>
        <v>0</v>
      </c>
      <c r="U42" s="25" t="n">
        <f aca="false">IF($C42="","",IFERROR(INDEX(Fournisseurs!$D$5:$D$24,MATCH($C42,Fournisseurs!$A$5:$A$24,0)),""))</f>
        <v>0</v>
      </c>
      <c r="V42" s="26" t="n">
        <f aca="false">IF($C42="","",IFERROR(INDEX(Fournisseurs!$G$5:$G$24,MATCH($C42,Fournisseurs!$A$5:$A$24,0)),""))</f>
        <v>0</v>
      </c>
      <c r="W42" s="18" t="n">
        <f aca="false">IF($C42="","",IFERROR(INDEX(Fournisseurs!$H$5:$H$24,MATCH($C42,Fournisseurs!$A$5:$A$24,0)),""))</f>
        <v>0</v>
      </c>
      <c r="X42" s="18" t="n">
        <f aca="false">IF($C42="","",IFERROR(INDEX(Fournisseurs!$B$5:$B$24,MATCH($C42,Fournisseurs!$A$5:$A$24,0)),""))</f>
        <v>0</v>
      </c>
      <c r="Y42" s="18" t="n">
        <f aca="false">IF($A42="","",IF(AND($A42&lt;&gt;"",$C42&lt;&gt;"",ISNUMBER($I42),ISNUMBER($J42),ISNUMBER($M42)),IF(AND($I42&gt;=1,$J42&gt;0,OR($K42="HT",$K42="TTC"),$M42&gt;=1,IFERROR(INDEX(Fournisseurs!$T$5:$T$24,MATCH($C42,Fournisseurs!$A$5:$A$24,0)),0)=1),1,0),0))</f>
        <v>0</v>
      </c>
      <c r="Z42" s="27" t="str">
        <f aca="false">IF($Y42=1,$J42*(1-N($L42)),"")</f>
        <v/>
      </c>
      <c r="AA42" s="28" t="str">
        <f aca="false">IF($Y42=1,IF($K42="TTC",$Z42/(1+$V42),$Z42),"")</f>
        <v/>
      </c>
      <c r="AB42" s="28" t="str">
        <f aca="false">IF($Y42=1,IF($K42="TTC",$Z42-$AA42,$AA42*$V42),"")</f>
        <v/>
      </c>
      <c r="AC42" s="27" t="str">
        <f aca="false">IF($Y42=1,$AA42*$U42*$M42,"")</f>
        <v/>
      </c>
      <c r="AD42" s="26" t="str">
        <f aca="false">IF($Y42=1,$AC42/SUMIFS($AC$6:$AC$205,$C$6:$C$205,$C42,$Y$6:$Y$205,1),"")</f>
        <v/>
      </c>
      <c r="AE42" s="28" t="str">
        <f aca="false">IF($Y42=1,(INDEX(Fournisseurs!$J$5:$J$24,MATCH($C42,Fournisseurs!$A$5:$A$24,0))+INDEX(Fournisseurs!$K$5:$K$24,MATCH($C42,Fournisseurs!$A$5:$A$24,0)))*$U42*$AD42/($I42*$M42),"")</f>
        <v/>
      </c>
      <c r="AF42" s="28" t="str">
        <f aca="false">IF($Y42=1,INDEX(Fournisseurs!$L$5:$L$24,MATCH($C42,Fournisseurs!$A$5:$A$24,0))*$AD42/($I42*$M42),"")</f>
        <v/>
      </c>
      <c r="AG42" s="28" t="str">
        <f aca="false">IF($Y42=1,$AA42*$U42/$I42,"")</f>
        <v/>
      </c>
      <c r="AH42" s="28" t="str">
        <f aca="false">IF($Y42=1,$AB42*$U42/$I42,"")</f>
        <v/>
      </c>
      <c r="AI42" s="18" t="str">
        <f aca="false">IF($Y42=1,IF(AND(Paramètres!$B$4="EFFECTIVE",$W42="CH",$AB42&gt;0),1,0),"")</f>
        <v/>
      </c>
      <c r="AJ42" s="28" t="str">
        <f aca="false">IF($Y42=1,IF($X42&lt;&gt;"CH",($AG42+$AE42+$AF42)*Paramètres!$B$14,0),"")</f>
        <v/>
      </c>
      <c r="AK42" s="29" t="str">
        <f aca="false">IF($Y42=1,$AG42+IF($AI42=1,0,$AH42)+$AE42+$AF42+IF(Paramètres!$B$4="NOT_REGISTERED",$AJ42,0),"")</f>
        <v/>
      </c>
      <c r="AL42" s="27" t="str">
        <f aca="false">IF($Y42=1,($AK42+Paramètres!$B$7+Paramètres!$B$8+Paramètres!$B$9+Paramètres!$B$10)/((1-Paramètres!$B$11)/(1+Paramètres!$B$5)-Paramètres!$B$6),"")</f>
        <v/>
      </c>
      <c r="AM42" s="26" t="str">
        <f aca="false">IF(AND($Y42=1,ISNUMBER($R42)),IF($R42&gt;0,$AL42/$R42-1,""),"")</f>
        <v/>
      </c>
      <c r="AN42" s="27" t="str">
        <f aca="false">IF(AND($Y42=1,ISNUMBER($R42)),IF($R42&gt;0,$R42/(1+Paramètres!$B$5)-$AK42-($R42*Paramètres!$B$6+Paramètres!$B$7)-Paramètres!$B$8-Paramètres!$B$9-Paramètres!$B$10,""),"")</f>
        <v/>
      </c>
      <c r="AO42" s="26" t="str">
        <f aca="false">IF(ISNUMBER($AN42),$AN42/($R42/(1+Paramètres!$B$5)),"")</f>
        <v/>
      </c>
      <c r="AP42" s="30" t="str">
        <f aca="false">IF($A42="","",IF($Y42&lt;&gt;1,"INCOMPLET",IF(NOT(ISNUMBER($AM42)),"SANS RÉF. MARCHÉ",IF($AM42&lt;=Paramètres!$B$12,"OK",IF(AND($AO42&gt;=Paramètres!$B$15,$AN42&gt;=Paramètres!$B$16),"À REVOIR","NON RENTABLE")))))</f>
        <v>INCOMPLET</v>
      </c>
      <c r="AQ42" s="18" t="str">
        <f aca="false">TRIM(IF(AND($Y42=1,ISNUMBER($N42)),IF($M42&lt;$N42,"MOQ ",""),"")&amp;IF(AND($Y42=1,ISNUMBER($O42)),IF($O42&lt;$I42*$M42,"DISPO ",""),"")&amp;IF($S42="O","FICTIF ","")&amp;IF($Y42=1,IF(AND($K42="TTC",$W42&lt;&gt;"CH"),"TVA-ÉTRANGÈRE ",""),""))</f>
        <v/>
      </c>
      <c r="AR42" s="18" t="str">
        <f aca="false">IF($Y42=1,COUNTIFS($A$6:$A$205,$A42,$AK$6:$AK$205,"&lt;"&amp;$AK42,$Y$6:$Y$205,1)+1,"")</f>
        <v/>
      </c>
      <c r="AS42" s="18" t="str">
        <f aca="false">IF(ISNUMBER($AR42),$A42&amp;"|"&amp;$AR42,"")</f>
        <v/>
      </c>
      <c r="AT42" s="27" t="str">
        <f aca="false">IF($Y42=1,$AK42*$I42*$M42,"")</f>
        <v/>
      </c>
    </row>
    <row r="43" customFormat="false" ht="15" hidden="false" customHeight="false" outlineLevel="0" collapsed="false">
      <c r="A43" s="9" t="s">
        <v>192</v>
      </c>
      <c r="B43" s="9" t="s">
        <v>193</v>
      </c>
      <c r="C43" s="9" t="s">
        <v>79</v>
      </c>
      <c r="D43" s="9"/>
      <c r="E43" s="9"/>
      <c r="F43" s="9"/>
      <c r="G43" s="9" t="s">
        <v>194</v>
      </c>
      <c r="H43" s="9" t="s">
        <v>148</v>
      </c>
      <c r="I43" s="9"/>
      <c r="J43" s="13"/>
      <c r="K43" s="9"/>
      <c r="L43" s="12"/>
      <c r="M43" s="9"/>
      <c r="N43" s="9"/>
      <c r="O43" s="9"/>
      <c r="P43" s="9"/>
      <c r="Q43" s="16"/>
      <c r="R43" s="13"/>
      <c r="S43" s="9" t="s">
        <v>78</v>
      </c>
      <c r="T43" s="18" t="n">
        <f aca="false">IF($C43="","",IFERROR(INDEX(Fournisseurs!$C$5:$C$24,MATCH($C43,Fournisseurs!$A$5:$A$24,0)),""))</f>
        <v>0</v>
      </c>
      <c r="U43" s="25" t="n">
        <f aca="false">IF($C43="","",IFERROR(INDEX(Fournisseurs!$D$5:$D$24,MATCH($C43,Fournisseurs!$A$5:$A$24,0)),""))</f>
        <v>0</v>
      </c>
      <c r="V43" s="26" t="n">
        <f aca="false">IF($C43="","",IFERROR(INDEX(Fournisseurs!$G$5:$G$24,MATCH($C43,Fournisseurs!$A$5:$A$24,0)),""))</f>
        <v>0</v>
      </c>
      <c r="W43" s="18" t="n">
        <f aca="false">IF($C43="","",IFERROR(INDEX(Fournisseurs!$H$5:$H$24,MATCH($C43,Fournisseurs!$A$5:$A$24,0)),""))</f>
        <v>0</v>
      </c>
      <c r="X43" s="18" t="n">
        <f aca="false">IF($C43="","",IFERROR(INDEX(Fournisseurs!$B$5:$B$24,MATCH($C43,Fournisseurs!$A$5:$A$24,0)),""))</f>
        <v>0</v>
      </c>
      <c r="Y43" s="18" t="n">
        <f aca="false">IF($A43="","",IF(AND($A43&lt;&gt;"",$C43&lt;&gt;"",ISNUMBER($I43),ISNUMBER($J43),ISNUMBER($M43)),IF(AND($I43&gt;=1,$J43&gt;0,OR($K43="HT",$K43="TTC"),$M43&gt;=1,IFERROR(INDEX(Fournisseurs!$T$5:$T$24,MATCH($C43,Fournisseurs!$A$5:$A$24,0)),0)=1),1,0),0))</f>
        <v>0</v>
      </c>
      <c r="Z43" s="27" t="str">
        <f aca="false">IF($Y43=1,$J43*(1-N($L43)),"")</f>
        <v/>
      </c>
      <c r="AA43" s="28" t="str">
        <f aca="false">IF($Y43=1,IF($K43="TTC",$Z43/(1+$V43),$Z43),"")</f>
        <v/>
      </c>
      <c r="AB43" s="28" t="str">
        <f aca="false">IF($Y43=1,IF($K43="TTC",$Z43-$AA43,$AA43*$V43),"")</f>
        <v/>
      </c>
      <c r="AC43" s="27" t="str">
        <f aca="false">IF($Y43=1,$AA43*$U43*$M43,"")</f>
        <v/>
      </c>
      <c r="AD43" s="26" t="str">
        <f aca="false">IF($Y43=1,$AC43/SUMIFS($AC$6:$AC$205,$C$6:$C$205,$C43,$Y$6:$Y$205,1),"")</f>
        <v/>
      </c>
      <c r="AE43" s="28" t="str">
        <f aca="false">IF($Y43=1,(INDEX(Fournisseurs!$J$5:$J$24,MATCH($C43,Fournisseurs!$A$5:$A$24,0))+INDEX(Fournisseurs!$K$5:$K$24,MATCH($C43,Fournisseurs!$A$5:$A$24,0)))*$U43*$AD43/($I43*$M43),"")</f>
        <v/>
      </c>
      <c r="AF43" s="28" t="str">
        <f aca="false">IF($Y43=1,INDEX(Fournisseurs!$L$5:$L$24,MATCH($C43,Fournisseurs!$A$5:$A$24,0))*$AD43/($I43*$M43),"")</f>
        <v/>
      </c>
      <c r="AG43" s="28" t="str">
        <f aca="false">IF($Y43=1,$AA43*$U43/$I43,"")</f>
        <v/>
      </c>
      <c r="AH43" s="28" t="str">
        <f aca="false">IF($Y43=1,$AB43*$U43/$I43,"")</f>
        <v/>
      </c>
      <c r="AI43" s="18" t="str">
        <f aca="false">IF($Y43=1,IF(AND(Paramètres!$B$4="EFFECTIVE",$W43="CH",$AB43&gt;0),1,0),"")</f>
        <v/>
      </c>
      <c r="AJ43" s="28" t="str">
        <f aca="false">IF($Y43=1,IF($X43&lt;&gt;"CH",($AG43+$AE43+$AF43)*Paramètres!$B$14,0),"")</f>
        <v/>
      </c>
      <c r="AK43" s="29" t="str">
        <f aca="false">IF($Y43=1,$AG43+IF($AI43=1,0,$AH43)+$AE43+$AF43+IF(Paramètres!$B$4="NOT_REGISTERED",$AJ43,0),"")</f>
        <v/>
      </c>
      <c r="AL43" s="27" t="str">
        <f aca="false">IF($Y43=1,($AK43+Paramètres!$B$7+Paramètres!$B$8+Paramètres!$B$9+Paramètres!$B$10)/((1-Paramètres!$B$11)/(1+Paramètres!$B$5)-Paramètres!$B$6),"")</f>
        <v/>
      </c>
      <c r="AM43" s="26" t="str">
        <f aca="false">IF(AND($Y43=1,ISNUMBER($R43)),IF($R43&gt;0,$AL43/$R43-1,""),"")</f>
        <v/>
      </c>
      <c r="AN43" s="27" t="str">
        <f aca="false">IF(AND($Y43=1,ISNUMBER($R43)),IF($R43&gt;0,$R43/(1+Paramètres!$B$5)-$AK43-($R43*Paramètres!$B$6+Paramètres!$B$7)-Paramètres!$B$8-Paramètres!$B$9-Paramètres!$B$10,""),"")</f>
        <v/>
      </c>
      <c r="AO43" s="26" t="str">
        <f aca="false">IF(ISNUMBER($AN43),$AN43/($R43/(1+Paramètres!$B$5)),"")</f>
        <v/>
      </c>
      <c r="AP43" s="30" t="str">
        <f aca="false">IF($A43="","",IF($Y43&lt;&gt;1,"INCOMPLET",IF(NOT(ISNUMBER($AM43)),"SANS RÉF. MARCHÉ",IF($AM43&lt;=Paramètres!$B$12,"OK",IF(AND($AO43&gt;=Paramètres!$B$15,$AN43&gt;=Paramètres!$B$16),"À REVOIR","NON RENTABLE")))))</f>
        <v>INCOMPLET</v>
      </c>
      <c r="AQ43" s="18" t="str">
        <f aca="false">TRIM(IF(AND($Y43=1,ISNUMBER($N43)),IF($M43&lt;$N43,"MOQ ",""),"")&amp;IF(AND($Y43=1,ISNUMBER($O43)),IF($O43&lt;$I43*$M43,"DISPO ",""),"")&amp;IF($S43="O","FICTIF ","")&amp;IF($Y43=1,IF(AND($K43="TTC",$W43&lt;&gt;"CH"),"TVA-ÉTRANGÈRE ",""),""))</f>
        <v/>
      </c>
      <c r="AR43" s="18" t="str">
        <f aca="false">IF($Y43=1,COUNTIFS($A$6:$A$205,$A43,$AK$6:$AK$205,"&lt;"&amp;$AK43,$Y$6:$Y$205,1)+1,"")</f>
        <v/>
      </c>
      <c r="AS43" s="18" t="str">
        <f aca="false">IF(ISNUMBER($AR43),$A43&amp;"|"&amp;$AR43,"")</f>
        <v/>
      </c>
      <c r="AT43" s="27" t="str">
        <f aca="false">IF($Y43=1,$AK43*$I43*$M43,"")</f>
        <v/>
      </c>
    </row>
    <row r="44" customFormat="false" ht="15" hidden="false" customHeight="false" outlineLevel="0" collapsed="false">
      <c r="A44" s="9" t="s">
        <v>195</v>
      </c>
      <c r="B44" s="9" t="s">
        <v>196</v>
      </c>
      <c r="C44" s="9" t="s">
        <v>79</v>
      </c>
      <c r="D44" s="9"/>
      <c r="E44" s="9"/>
      <c r="F44" s="9"/>
      <c r="G44" s="9" t="s">
        <v>197</v>
      </c>
      <c r="H44" s="9" t="s">
        <v>155</v>
      </c>
      <c r="I44" s="9"/>
      <c r="J44" s="13"/>
      <c r="K44" s="9"/>
      <c r="L44" s="12"/>
      <c r="M44" s="9"/>
      <c r="N44" s="9"/>
      <c r="O44" s="9"/>
      <c r="P44" s="9"/>
      <c r="Q44" s="16"/>
      <c r="R44" s="13"/>
      <c r="S44" s="9" t="s">
        <v>78</v>
      </c>
      <c r="T44" s="18" t="n">
        <f aca="false">IF($C44="","",IFERROR(INDEX(Fournisseurs!$C$5:$C$24,MATCH($C44,Fournisseurs!$A$5:$A$24,0)),""))</f>
        <v>0</v>
      </c>
      <c r="U44" s="25" t="n">
        <f aca="false">IF($C44="","",IFERROR(INDEX(Fournisseurs!$D$5:$D$24,MATCH($C44,Fournisseurs!$A$5:$A$24,0)),""))</f>
        <v>0</v>
      </c>
      <c r="V44" s="26" t="n">
        <f aca="false">IF($C44="","",IFERROR(INDEX(Fournisseurs!$G$5:$G$24,MATCH($C44,Fournisseurs!$A$5:$A$24,0)),""))</f>
        <v>0</v>
      </c>
      <c r="W44" s="18" t="n">
        <f aca="false">IF($C44="","",IFERROR(INDEX(Fournisseurs!$H$5:$H$24,MATCH($C44,Fournisseurs!$A$5:$A$24,0)),""))</f>
        <v>0</v>
      </c>
      <c r="X44" s="18" t="n">
        <f aca="false">IF($C44="","",IFERROR(INDEX(Fournisseurs!$B$5:$B$24,MATCH($C44,Fournisseurs!$A$5:$A$24,0)),""))</f>
        <v>0</v>
      </c>
      <c r="Y44" s="18" t="n">
        <f aca="false">IF($A44="","",IF(AND($A44&lt;&gt;"",$C44&lt;&gt;"",ISNUMBER($I44),ISNUMBER($J44),ISNUMBER($M44)),IF(AND($I44&gt;=1,$J44&gt;0,OR($K44="HT",$K44="TTC"),$M44&gt;=1,IFERROR(INDEX(Fournisseurs!$T$5:$T$24,MATCH($C44,Fournisseurs!$A$5:$A$24,0)),0)=1),1,0),0))</f>
        <v>0</v>
      </c>
      <c r="Z44" s="27" t="str">
        <f aca="false">IF($Y44=1,$J44*(1-N($L44)),"")</f>
        <v/>
      </c>
      <c r="AA44" s="28" t="str">
        <f aca="false">IF($Y44=1,IF($K44="TTC",$Z44/(1+$V44),$Z44),"")</f>
        <v/>
      </c>
      <c r="AB44" s="28" t="str">
        <f aca="false">IF($Y44=1,IF($K44="TTC",$Z44-$AA44,$AA44*$V44),"")</f>
        <v/>
      </c>
      <c r="AC44" s="27" t="str">
        <f aca="false">IF($Y44=1,$AA44*$U44*$M44,"")</f>
        <v/>
      </c>
      <c r="AD44" s="26" t="str">
        <f aca="false">IF($Y44=1,$AC44/SUMIFS($AC$6:$AC$205,$C$6:$C$205,$C44,$Y$6:$Y$205,1),"")</f>
        <v/>
      </c>
      <c r="AE44" s="28" t="str">
        <f aca="false">IF($Y44=1,(INDEX(Fournisseurs!$J$5:$J$24,MATCH($C44,Fournisseurs!$A$5:$A$24,0))+INDEX(Fournisseurs!$K$5:$K$24,MATCH($C44,Fournisseurs!$A$5:$A$24,0)))*$U44*$AD44/($I44*$M44),"")</f>
        <v/>
      </c>
      <c r="AF44" s="28" t="str">
        <f aca="false">IF($Y44=1,INDEX(Fournisseurs!$L$5:$L$24,MATCH($C44,Fournisseurs!$A$5:$A$24,0))*$AD44/($I44*$M44),"")</f>
        <v/>
      </c>
      <c r="AG44" s="28" t="str">
        <f aca="false">IF($Y44=1,$AA44*$U44/$I44,"")</f>
        <v/>
      </c>
      <c r="AH44" s="28" t="str">
        <f aca="false">IF($Y44=1,$AB44*$U44/$I44,"")</f>
        <v/>
      </c>
      <c r="AI44" s="18" t="str">
        <f aca="false">IF($Y44=1,IF(AND(Paramètres!$B$4="EFFECTIVE",$W44="CH",$AB44&gt;0),1,0),"")</f>
        <v/>
      </c>
      <c r="AJ44" s="28" t="str">
        <f aca="false">IF($Y44=1,IF($X44&lt;&gt;"CH",($AG44+$AE44+$AF44)*Paramètres!$B$14,0),"")</f>
        <v/>
      </c>
      <c r="AK44" s="29" t="str">
        <f aca="false">IF($Y44=1,$AG44+IF($AI44=1,0,$AH44)+$AE44+$AF44+IF(Paramètres!$B$4="NOT_REGISTERED",$AJ44,0),"")</f>
        <v/>
      </c>
      <c r="AL44" s="27" t="str">
        <f aca="false">IF($Y44=1,($AK44+Paramètres!$B$7+Paramètres!$B$8+Paramètres!$B$9+Paramètres!$B$10)/((1-Paramètres!$B$11)/(1+Paramètres!$B$5)-Paramètres!$B$6),"")</f>
        <v/>
      </c>
      <c r="AM44" s="26" t="str">
        <f aca="false">IF(AND($Y44=1,ISNUMBER($R44)),IF($R44&gt;0,$AL44/$R44-1,""),"")</f>
        <v/>
      </c>
      <c r="AN44" s="27" t="str">
        <f aca="false">IF(AND($Y44=1,ISNUMBER($R44)),IF($R44&gt;0,$R44/(1+Paramètres!$B$5)-$AK44-($R44*Paramètres!$B$6+Paramètres!$B$7)-Paramètres!$B$8-Paramètres!$B$9-Paramètres!$B$10,""),"")</f>
        <v/>
      </c>
      <c r="AO44" s="26" t="str">
        <f aca="false">IF(ISNUMBER($AN44),$AN44/($R44/(1+Paramètres!$B$5)),"")</f>
        <v/>
      </c>
      <c r="AP44" s="30" t="str">
        <f aca="false">IF($A44="","",IF($Y44&lt;&gt;1,"INCOMPLET",IF(NOT(ISNUMBER($AM44)),"SANS RÉF. MARCHÉ",IF($AM44&lt;=Paramètres!$B$12,"OK",IF(AND($AO44&gt;=Paramètres!$B$15,$AN44&gt;=Paramètres!$B$16),"À REVOIR","NON RENTABLE")))))</f>
        <v>INCOMPLET</v>
      </c>
      <c r="AQ44" s="18" t="str">
        <f aca="false">TRIM(IF(AND($Y44=1,ISNUMBER($N44)),IF($M44&lt;$N44,"MOQ ",""),"")&amp;IF(AND($Y44=1,ISNUMBER($O44)),IF($O44&lt;$I44*$M44,"DISPO ",""),"")&amp;IF($S44="O","FICTIF ","")&amp;IF($Y44=1,IF(AND($K44="TTC",$W44&lt;&gt;"CH"),"TVA-ÉTRANGÈRE ",""),""))</f>
        <v/>
      </c>
      <c r="AR44" s="18" t="str">
        <f aca="false">IF($Y44=1,COUNTIFS($A$6:$A$205,$A44,$AK$6:$AK$205,"&lt;"&amp;$AK44,$Y$6:$Y$205,1)+1,"")</f>
        <v/>
      </c>
      <c r="AS44" s="18" t="str">
        <f aca="false">IF(ISNUMBER($AR44),$A44&amp;"|"&amp;$AR44,"")</f>
        <v/>
      </c>
      <c r="AT44" s="27" t="str">
        <f aca="false">IF($Y44=1,$AK44*$I44*$M44,"")</f>
        <v/>
      </c>
    </row>
    <row r="45" customFormat="false" ht="15" hidden="false" customHeight="false" outlineLevel="0" collapsed="false">
      <c r="A45" s="9" t="s">
        <v>198</v>
      </c>
      <c r="B45" s="9" t="s">
        <v>199</v>
      </c>
      <c r="C45" s="9" t="s">
        <v>79</v>
      </c>
      <c r="D45" s="9"/>
      <c r="E45" s="9"/>
      <c r="F45" s="9"/>
      <c r="G45" s="9" t="s">
        <v>197</v>
      </c>
      <c r="H45" s="9" t="s">
        <v>148</v>
      </c>
      <c r="I45" s="9"/>
      <c r="J45" s="13"/>
      <c r="K45" s="9"/>
      <c r="L45" s="12"/>
      <c r="M45" s="9"/>
      <c r="N45" s="9"/>
      <c r="O45" s="9"/>
      <c r="P45" s="9"/>
      <c r="Q45" s="16"/>
      <c r="R45" s="13"/>
      <c r="S45" s="9" t="s">
        <v>78</v>
      </c>
      <c r="T45" s="18" t="n">
        <f aca="false">IF($C45="","",IFERROR(INDEX(Fournisseurs!$C$5:$C$24,MATCH($C45,Fournisseurs!$A$5:$A$24,0)),""))</f>
        <v>0</v>
      </c>
      <c r="U45" s="25" t="n">
        <f aca="false">IF($C45="","",IFERROR(INDEX(Fournisseurs!$D$5:$D$24,MATCH($C45,Fournisseurs!$A$5:$A$24,0)),""))</f>
        <v>0</v>
      </c>
      <c r="V45" s="26" t="n">
        <f aca="false">IF($C45="","",IFERROR(INDEX(Fournisseurs!$G$5:$G$24,MATCH($C45,Fournisseurs!$A$5:$A$24,0)),""))</f>
        <v>0</v>
      </c>
      <c r="W45" s="18" t="n">
        <f aca="false">IF($C45="","",IFERROR(INDEX(Fournisseurs!$H$5:$H$24,MATCH($C45,Fournisseurs!$A$5:$A$24,0)),""))</f>
        <v>0</v>
      </c>
      <c r="X45" s="18" t="n">
        <f aca="false">IF($C45="","",IFERROR(INDEX(Fournisseurs!$B$5:$B$24,MATCH($C45,Fournisseurs!$A$5:$A$24,0)),""))</f>
        <v>0</v>
      </c>
      <c r="Y45" s="18" t="n">
        <f aca="false">IF($A45="","",IF(AND($A45&lt;&gt;"",$C45&lt;&gt;"",ISNUMBER($I45),ISNUMBER($J45),ISNUMBER($M45)),IF(AND($I45&gt;=1,$J45&gt;0,OR($K45="HT",$K45="TTC"),$M45&gt;=1,IFERROR(INDEX(Fournisseurs!$T$5:$T$24,MATCH($C45,Fournisseurs!$A$5:$A$24,0)),0)=1),1,0),0))</f>
        <v>0</v>
      </c>
      <c r="Z45" s="27" t="str">
        <f aca="false">IF($Y45=1,$J45*(1-N($L45)),"")</f>
        <v/>
      </c>
      <c r="AA45" s="28" t="str">
        <f aca="false">IF($Y45=1,IF($K45="TTC",$Z45/(1+$V45),$Z45),"")</f>
        <v/>
      </c>
      <c r="AB45" s="28" t="str">
        <f aca="false">IF($Y45=1,IF($K45="TTC",$Z45-$AA45,$AA45*$V45),"")</f>
        <v/>
      </c>
      <c r="AC45" s="27" t="str">
        <f aca="false">IF($Y45=1,$AA45*$U45*$M45,"")</f>
        <v/>
      </c>
      <c r="AD45" s="26" t="str">
        <f aca="false">IF($Y45=1,$AC45/SUMIFS($AC$6:$AC$205,$C$6:$C$205,$C45,$Y$6:$Y$205,1),"")</f>
        <v/>
      </c>
      <c r="AE45" s="28" t="str">
        <f aca="false">IF($Y45=1,(INDEX(Fournisseurs!$J$5:$J$24,MATCH($C45,Fournisseurs!$A$5:$A$24,0))+INDEX(Fournisseurs!$K$5:$K$24,MATCH($C45,Fournisseurs!$A$5:$A$24,0)))*$U45*$AD45/($I45*$M45),"")</f>
        <v/>
      </c>
      <c r="AF45" s="28" t="str">
        <f aca="false">IF($Y45=1,INDEX(Fournisseurs!$L$5:$L$24,MATCH($C45,Fournisseurs!$A$5:$A$24,0))*$AD45/($I45*$M45),"")</f>
        <v/>
      </c>
      <c r="AG45" s="28" t="str">
        <f aca="false">IF($Y45=1,$AA45*$U45/$I45,"")</f>
        <v/>
      </c>
      <c r="AH45" s="28" t="str">
        <f aca="false">IF($Y45=1,$AB45*$U45/$I45,"")</f>
        <v/>
      </c>
      <c r="AI45" s="18" t="str">
        <f aca="false">IF($Y45=1,IF(AND(Paramètres!$B$4="EFFECTIVE",$W45="CH",$AB45&gt;0),1,0),"")</f>
        <v/>
      </c>
      <c r="AJ45" s="28" t="str">
        <f aca="false">IF($Y45=1,IF($X45&lt;&gt;"CH",($AG45+$AE45+$AF45)*Paramètres!$B$14,0),"")</f>
        <v/>
      </c>
      <c r="AK45" s="29" t="str">
        <f aca="false">IF($Y45=1,$AG45+IF($AI45=1,0,$AH45)+$AE45+$AF45+IF(Paramètres!$B$4="NOT_REGISTERED",$AJ45,0),"")</f>
        <v/>
      </c>
      <c r="AL45" s="27" t="str">
        <f aca="false">IF($Y45=1,($AK45+Paramètres!$B$7+Paramètres!$B$8+Paramètres!$B$9+Paramètres!$B$10)/((1-Paramètres!$B$11)/(1+Paramètres!$B$5)-Paramètres!$B$6),"")</f>
        <v/>
      </c>
      <c r="AM45" s="26" t="str">
        <f aca="false">IF(AND($Y45=1,ISNUMBER($R45)),IF($R45&gt;0,$AL45/$R45-1,""),"")</f>
        <v/>
      </c>
      <c r="AN45" s="27" t="str">
        <f aca="false">IF(AND($Y45=1,ISNUMBER($R45)),IF($R45&gt;0,$R45/(1+Paramètres!$B$5)-$AK45-($R45*Paramètres!$B$6+Paramètres!$B$7)-Paramètres!$B$8-Paramètres!$B$9-Paramètres!$B$10,""),"")</f>
        <v/>
      </c>
      <c r="AO45" s="26" t="str">
        <f aca="false">IF(ISNUMBER($AN45),$AN45/($R45/(1+Paramètres!$B$5)),"")</f>
        <v/>
      </c>
      <c r="AP45" s="30" t="str">
        <f aca="false">IF($A45="","",IF($Y45&lt;&gt;1,"INCOMPLET",IF(NOT(ISNUMBER($AM45)),"SANS RÉF. MARCHÉ",IF($AM45&lt;=Paramètres!$B$12,"OK",IF(AND($AO45&gt;=Paramètres!$B$15,$AN45&gt;=Paramètres!$B$16),"À REVOIR","NON RENTABLE")))))</f>
        <v>INCOMPLET</v>
      </c>
      <c r="AQ45" s="18" t="str">
        <f aca="false">TRIM(IF(AND($Y45=1,ISNUMBER($N45)),IF($M45&lt;$N45,"MOQ ",""),"")&amp;IF(AND($Y45=1,ISNUMBER($O45)),IF($O45&lt;$I45*$M45,"DISPO ",""),"")&amp;IF($S45="O","FICTIF ","")&amp;IF($Y45=1,IF(AND($K45="TTC",$W45&lt;&gt;"CH"),"TVA-ÉTRANGÈRE ",""),""))</f>
        <v/>
      </c>
      <c r="AR45" s="18" t="str">
        <f aca="false">IF($Y45=1,COUNTIFS($A$6:$A$205,$A45,$AK$6:$AK$205,"&lt;"&amp;$AK45,$Y$6:$Y$205,1)+1,"")</f>
        <v/>
      </c>
      <c r="AS45" s="18" t="str">
        <f aca="false">IF(ISNUMBER($AR45),$A45&amp;"|"&amp;$AR45,"")</f>
        <v/>
      </c>
      <c r="AT45" s="27" t="str">
        <f aca="false">IF($Y45=1,$AK45*$I45*$M45,"")</f>
        <v/>
      </c>
    </row>
    <row r="46" customFormat="false" ht="15" hidden="false" customHeight="false" outlineLevel="0" collapsed="false">
      <c r="A46" s="9" t="s">
        <v>200</v>
      </c>
      <c r="B46" s="9" t="s">
        <v>201</v>
      </c>
      <c r="C46" s="9" t="s">
        <v>79</v>
      </c>
      <c r="D46" s="9"/>
      <c r="E46" s="9"/>
      <c r="F46" s="9"/>
      <c r="G46" s="9" t="s">
        <v>197</v>
      </c>
      <c r="H46" s="9" t="s">
        <v>172</v>
      </c>
      <c r="I46" s="9"/>
      <c r="J46" s="13"/>
      <c r="K46" s="9"/>
      <c r="L46" s="12"/>
      <c r="M46" s="9"/>
      <c r="N46" s="9"/>
      <c r="O46" s="9"/>
      <c r="P46" s="9"/>
      <c r="Q46" s="16"/>
      <c r="R46" s="13"/>
      <c r="S46" s="9" t="s">
        <v>78</v>
      </c>
      <c r="T46" s="18" t="n">
        <f aca="false">IF($C46="","",IFERROR(INDEX(Fournisseurs!$C$5:$C$24,MATCH($C46,Fournisseurs!$A$5:$A$24,0)),""))</f>
        <v>0</v>
      </c>
      <c r="U46" s="25" t="n">
        <f aca="false">IF($C46="","",IFERROR(INDEX(Fournisseurs!$D$5:$D$24,MATCH($C46,Fournisseurs!$A$5:$A$24,0)),""))</f>
        <v>0</v>
      </c>
      <c r="V46" s="26" t="n">
        <f aca="false">IF($C46="","",IFERROR(INDEX(Fournisseurs!$G$5:$G$24,MATCH($C46,Fournisseurs!$A$5:$A$24,0)),""))</f>
        <v>0</v>
      </c>
      <c r="W46" s="18" t="n">
        <f aca="false">IF($C46="","",IFERROR(INDEX(Fournisseurs!$H$5:$H$24,MATCH($C46,Fournisseurs!$A$5:$A$24,0)),""))</f>
        <v>0</v>
      </c>
      <c r="X46" s="18" t="n">
        <f aca="false">IF($C46="","",IFERROR(INDEX(Fournisseurs!$B$5:$B$24,MATCH($C46,Fournisseurs!$A$5:$A$24,0)),""))</f>
        <v>0</v>
      </c>
      <c r="Y46" s="18" t="n">
        <f aca="false">IF($A46="","",IF(AND($A46&lt;&gt;"",$C46&lt;&gt;"",ISNUMBER($I46),ISNUMBER($J46),ISNUMBER($M46)),IF(AND($I46&gt;=1,$J46&gt;0,OR($K46="HT",$K46="TTC"),$M46&gt;=1,IFERROR(INDEX(Fournisseurs!$T$5:$T$24,MATCH($C46,Fournisseurs!$A$5:$A$24,0)),0)=1),1,0),0))</f>
        <v>0</v>
      </c>
      <c r="Z46" s="27" t="str">
        <f aca="false">IF($Y46=1,$J46*(1-N($L46)),"")</f>
        <v/>
      </c>
      <c r="AA46" s="28" t="str">
        <f aca="false">IF($Y46=1,IF($K46="TTC",$Z46/(1+$V46),$Z46),"")</f>
        <v/>
      </c>
      <c r="AB46" s="28" t="str">
        <f aca="false">IF($Y46=1,IF($K46="TTC",$Z46-$AA46,$AA46*$V46),"")</f>
        <v/>
      </c>
      <c r="AC46" s="27" t="str">
        <f aca="false">IF($Y46=1,$AA46*$U46*$M46,"")</f>
        <v/>
      </c>
      <c r="AD46" s="26" t="str">
        <f aca="false">IF($Y46=1,$AC46/SUMIFS($AC$6:$AC$205,$C$6:$C$205,$C46,$Y$6:$Y$205,1),"")</f>
        <v/>
      </c>
      <c r="AE46" s="28" t="str">
        <f aca="false">IF($Y46=1,(INDEX(Fournisseurs!$J$5:$J$24,MATCH($C46,Fournisseurs!$A$5:$A$24,0))+INDEX(Fournisseurs!$K$5:$K$24,MATCH($C46,Fournisseurs!$A$5:$A$24,0)))*$U46*$AD46/($I46*$M46),"")</f>
        <v/>
      </c>
      <c r="AF46" s="28" t="str">
        <f aca="false">IF($Y46=1,INDEX(Fournisseurs!$L$5:$L$24,MATCH($C46,Fournisseurs!$A$5:$A$24,0))*$AD46/($I46*$M46),"")</f>
        <v/>
      </c>
      <c r="AG46" s="28" t="str">
        <f aca="false">IF($Y46=1,$AA46*$U46/$I46,"")</f>
        <v/>
      </c>
      <c r="AH46" s="28" t="str">
        <f aca="false">IF($Y46=1,$AB46*$U46/$I46,"")</f>
        <v/>
      </c>
      <c r="AI46" s="18" t="str">
        <f aca="false">IF($Y46=1,IF(AND(Paramètres!$B$4="EFFECTIVE",$W46="CH",$AB46&gt;0),1,0),"")</f>
        <v/>
      </c>
      <c r="AJ46" s="28" t="str">
        <f aca="false">IF($Y46=1,IF($X46&lt;&gt;"CH",($AG46+$AE46+$AF46)*Paramètres!$B$14,0),"")</f>
        <v/>
      </c>
      <c r="AK46" s="29" t="str">
        <f aca="false">IF($Y46=1,$AG46+IF($AI46=1,0,$AH46)+$AE46+$AF46+IF(Paramètres!$B$4="NOT_REGISTERED",$AJ46,0),"")</f>
        <v/>
      </c>
      <c r="AL46" s="27" t="str">
        <f aca="false">IF($Y46=1,($AK46+Paramètres!$B$7+Paramètres!$B$8+Paramètres!$B$9+Paramètres!$B$10)/((1-Paramètres!$B$11)/(1+Paramètres!$B$5)-Paramètres!$B$6),"")</f>
        <v/>
      </c>
      <c r="AM46" s="26" t="str">
        <f aca="false">IF(AND($Y46=1,ISNUMBER($R46)),IF($R46&gt;0,$AL46/$R46-1,""),"")</f>
        <v/>
      </c>
      <c r="AN46" s="27" t="str">
        <f aca="false">IF(AND($Y46=1,ISNUMBER($R46)),IF($R46&gt;0,$R46/(1+Paramètres!$B$5)-$AK46-($R46*Paramètres!$B$6+Paramètres!$B$7)-Paramètres!$B$8-Paramètres!$B$9-Paramètres!$B$10,""),"")</f>
        <v/>
      </c>
      <c r="AO46" s="26" t="str">
        <f aca="false">IF(ISNUMBER($AN46),$AN46/($R46/(1+Paramètres!$B$5)),"")</f>
        <v/>
      </c>
      <c r="AP46" s="30" t="str">
        <f aca="false">IF($A46="","",IF($Y46&lt;&gt;1,"INCOMPLET",IF(NOT(ISNUMBER($AM46)),"SANS RÉF. MARCHÉ",IF($AM46&lt;=Paramètres!$B$12,"OK",IF(AND($AO46&gt;=Paramètres!$B$15,$AN46&gt;=Paramètres!$B$16),"À REVOIR","NON RENTABLE")))))</f>
        <v>INCOMPLET</v>
      </c>
      <c r="AQ46" s="18" t="str">
        <f aca="false">TRIM(IF(AND($Y46=1,ISNUMBER($N46)),IF($M46&lt;$N46,"MOQ ",""),"")&amp;IF(AND($Y46=1,ISNUMBER($O46)),IF($O46&lt;$I46*$M46,"DISPO ",""),"")&amp;IF($S46="O","FICTIF ","")&amp;IF($Y46=1,IF(AND($K46="TTC",$W46&lt;&gt;"CH"),"TVA-ÉTRANGÈRE ",""),""))</f>
        <v/>
      </c>
      <c r="AR46" s="18" t="str">
        <f aca="false">IF($Y46=1,COUNTIFS($A$6:$A$205,$A46,$AK$6:$AK$205,"&lt;"&amp;$AK46,$Y$6:$Y$205,1)+1,"")</f>
        <v/>
      </c>
      <c r="AS46" s="18" t="str">
        <f aca="false">IF(ISNUMBER($AR46),$A46&amp;"|"&amp;$AR46,"")</f>
        <v/>
      </c>
      <c r="AT46" s="27" t="str">
        <f aca="false">IF($Y46=1,$AK46*$I46*$M46,"")</f>
        <v/>
      </c>
    </row>
    <row r="47" customFormat="false" ht="15" hidden="false" customHeight="false" outlineLevel="0" collapsed="false">
      <c r="A47" s="9" t="s">
        <v>202</v>
      </c>
      <c r="B47" s="9" t="s">
        <v>203</v>
      </c>
      <c r="C47" s="9" t="s">
        <v>79</v>
      </c>
      <c r="D47" s="9"/>
      <c r="E47" s="9"/>
      <c r="F47" s="9"/>
      <c r="G47" s="9"/>
      <c r="H47" s="9" t="s">
        <v>183</v>
      </c>
      <c r="I47" s="9"/>
      <c r="J47" s="13"/>
      <c r="K47" s="9"/>
      <c r="L47" s="12"/>
      <c r="M47" s="9"/>
      <c r="N47" s="9"/>
      <c r="O47" s="9"/>
      <c r="P47" s="9"/>
      <c r="Q47" s="16"/>
      <c r="R47" s="13"/>
      <c r="S47" s="9" t="s">
        <v>78</v>
      </c>
      <c r="T47" s="18" t="n">
        <f aca="false">IF($C47="","",IFERROR(INDEX(Fournisseurs!$C$5:$C$24,MATCH($C47,Fournisseurs!$A$5:$A$24,0)),""))</f>
        <v>0</v>
      </c>
      <c r="U47" s="25" t="n">
        <f aca="false">IF($C47="","",IFERROR(INDEX(Fournisseurs!$D$5:$D$24,MATCH($C47,Fournisseurs!$A$5:$A$24,0)),""))</f>
        <v>0</v>
      </c>
      <c r="V47" s="26" t="n">
        <f aca="false">IF($C47="","",IFERROR(INDEX(Fournisseurs!$G$5:$G$24,MATCH($C47,Fournisseurs!$A$5:$A$24,0)),""))</f>
        <v>0</v>
      </c>
      <c r="W47" s="18" t="n">
        <f aca="false">IF($C47="","",IFERROR(INDEX(Fournisseurs!$H$5:$H$24,MATCH($C47,Fournisseurs!$A$5:$A$24,0)),""))</f>
        <v>0</v>
      </c>
      <c r="X47" s="18" t="n">
        <f aca="false">IF($C47="","",IFERROR(INDEX(Fournisseurs!$B$5:$B$24,MATCH($C47,Fournisseurs!$A$5:$A$24,0)),""))</f>
        <v>0</v>
      </c>
      <c r="Y47" s="18" t="n">
        <f aca="false">IF($A47="","",IF(AND($A47&lt;&gt;"",$C47&lt;&gt;"",ISNUMBER($I47),ISNUMBER($J47),ISNUMBER($M47)),IF(AND($I47&gt;=1,$J47&gt;0,OR($K47="HT",$K47="TTC"),$M47&gt;=1,IFERROR(INDEX(Fournisseurs!$T$5:$T$24,MATCH($C47,Fournisseurs!$A$5:$A$24,0)),0)=1),1,0),0))</f>
        <v>0</v>
      </c>
      <c r="Z47" s="27" t="str">
        <f aca="false">IF($Y47=1,$J47*(1-N($L47)),"")</f>
        <v/>
      </c>
      <c r="AA47" s="28" t="str">
        <f aca="false">IF($Y47=1,IF($K47="TTC",$Z47/(1+$V47),$Z47),"")</f>
        <v/>
      </c>
      <c r="AB47" s="28" t="str">
        <f aca="false">IF($Y47=1,IF($K47="TTC",$Z47-$AA47,$AA47*$V47),"")</f>
        <v/>
      </c>
      <c r="AC47" s="27" t="str">
        <f aca="false">IF($Y47=1,$AA47*$U47*$M47,"")</f>
        <v/>
      </c>
      <c r="AD47" s="26" t="str">
        <f aca="false">IF($Y47=1,$AC47/SUMIFS($AC$6:$AC$205,$C$6:$C$205,$C47,$Y$6:$Y$205,1),"")</f>
        <v/>
      </c>
      <c r="AE47" s="28" t="str">
        <f aca="false">IF($Y47=1,(INDEX(Fournisseurs!$J$5:$J$24,MATCH($C47,Fournisseurs!$A$5:$A$24,0))+INDEX(Fournisseurs!$K$5:$K$24,MATCH($C47,Fournisseurs!$A$5:$A$24,0)))*$U47*$AD47/($I47*$M47),"")</f>
        <v/>
      </c>
      <c r="AF47" s="28" t="str">
        <f aca="false">IF($Y47=1,INDEX(Fournisseurs!$L$5:$L$24,MATCH($C47,Fournisseurs!$A$5:$A$24,0))*$AD47/($I47*$M47),"")</f>
        <v/>
      </c>
      <c r="AG47" s="28" t="str">
        <f aca="false">IF($Y47=1,$AA47*$U47/$I47,"")</f>
        <v/>
      </c>
      <c r="AH47" s="28" t="str">
        <f aca="false">IF($Y47=1,$AB47*$U47/$I47,"")</f>
        <v/>
      </c>
      <c r="AI47" s="18" t="str">
        <f aca="false">IF($Y47=1,IF(AND(Paramètres!$B$4="EFFECTIVE",$W47="CH",$AB47&gt;0),1,0),"")</f>
        <v/>
      </c>
      <c r="AJ47" s="28" t="str">
        <f aca="false">IF($Y47=1,IF($X47&lt;&gt;"CH",($AG47+$AE47+$AF47)*Paramètres!$B$14,0),"")</f>
        <v/>
      </c>
      <c r="AK47" s="29" t="str">
        <f aca="false">IF($Y47=1,$AG47+IF($AI47=1,0,$AH47)+$AE47+$AF47+IF(Paramètres!$B$4="NOT_REGISTERED",$AJ47,0),"")</f>
        <v/>
      </c>
      <c r="AL47" s="27" t="str">
        <f aca="false">IF($Y47=1,($AK47+Paramètres!$B$7+Paramètres!$B$8+Paramètres!$B$9+Paramètres!$B$10)/((1-Paramètres!$B$11)/(1+Paramètres!$B$5)-Paramètres!$B$6),"")</f>
        <v/>
      </c>
      <c r="AM47" s="26" t="str">
        <f aca="false">IF(AND($Y47=1,ISNUMBER($R47)),IF($R47&gt;0,$AL47/$R47-1,""),"")</f>
        <v/>
      </c>
      <c r="AN47" s="27" t="str">
        <f aca="false">IF(AND($Y47=1,ISNUMBER($R47)),IF($R47&gt;0,$R47/(1+Paramètres!$B$5)-$AK47-($R47*Paramètres!$B$6+Paramètres!$B$7)-Paramètres!$B$8-Paramètres!$B$9-Paramètres!$B$10,""),"")</f>
        <v/>
      </c>
      <c r="AO47" s="26" t="str">
        <f aca="false">IF(ISNUMBER($AN47),$AN47/($R47/(1+Paramètres!$B$5)),"")</f>
        <v/>
      </c>
      <c r="AP47" s="30" t="str">
        <f aca="false">IF($A47="","",IF($Y47&lt;&gt;1,"INCOMPLET",IF(NOT(ISNUMBER($AM47)),"SANS RÉF. MARCHÉ",IF($AM47&lt;=Paramètres!$B$12,"OK",IF(AND($AO47&gt;=Paramètres!$B$15,$AN47&gt;=Paramètres!$B$16),"À REVOIR","NON RENTABLE")))))</f>
        <v>INCOMPLET</v>
      </c>
      <c r="AQ47" s="18" t="str">
        <f aca="false">TRIM(IF(AND($Y47=1,ISNUMBER($N47)),IF($M47&lt;$N47,"MOQ ",""),"")&amp;IF(AND($Y47=1,ISNUMBER($O47)),IF($O47&lt;$I47*$M47,"DISPO ",""),"")&amp;IF($S47="O","FICTIF ","")&amp;IF($Y47=1,IF(AND($K47="TTC",$W47&lt;&gt;"CH"),"TVA-ÉTRANGÈRE ",""),""))</f>
        <v/>
      </c>
      <c r="AR47" s="18" t="str">
        <f aca="false">IF($Y47=1,COUNTIFS($A$6:$A$205,$A47,$AK$6:$AK$205,"&lt;"&amp;$AK47,$Y$6:$Y$205,1)+1,"")</f>
        <v/>
      </c>
      <c r="AS47" s="18" t="str">
        <f aca="false">IF(ISNUMBER($AR47),$A47&amp;"|"&amp;$AR47,"")</f>
        <v/>
      </c>
      <c r="AT47" s="27" t="str">
        <f aca="false">IF($Y47=1,$AK47*$I47*$M47,"")</f>
        <v/>
      </c>
    </row>
    <row r="48" customFormat="false" ht="15" hidden="false" customHeight="false" outlineLevel="0" collapsed="false">
      <c r="A48" s="9" t="s">
        <v>152</v>
      </c>
      <c r="B48" s="9" t="s">
        <v>153</v>
      </c>
      <c r="C48" s="9" t="s">
        <v>80</v>
      </c>
      <c r="D48" s="9"/>
      <c r="E48" s="9"/>
      <c r="F48" s="9"/>
      <c r="G48" s="9" t="s">
        <v>154</v>
      </c>
      <c r="H48" s="9" t="s">
        <v>155</v>
      </c>
      <c r="I48" s="9"/>
      <c r="J48" s="13"/>
      <c r="K48" s="9"/>
      <c r="L48" s="12"/>
      <c r="M48" s="9"/>
      <c r="N48" s="9"/>
      <c r="O48" s="9"/>
      <c r="P48" s="9"/>
      <c r="Q48" s="16"/>
      <c r="R48" s="13"/>
      <c r="S48" s="9" t="s">
        <v>78</v>
      </c>
      <c r="T48" s="18" t="n">
        <f aca="false">IF($C48="","",IFERROR(INDEX(Fournisseurs!$C$5:$C$24,MATCH($C48,Fournisseurs!$A$5:$A$24,0)),""))</f>
        <v>0</v>
      </c>
      <c r="U48" s="25" t="n">
        <f aca="false">IF($C48="","",IFERROR(INDEX(Fournisseurs!$D$5:$D$24,MATCH($C48,Fournisseurs!$A$5:$A$24,0)),""))</f>
        <v>0</v>
      </c>
      <c r="V48" s="26" t="n">
        <f aca="false">IF($C48="","",IFERROR(INDEX(Fournisseurs!$G$5:$G$24,MATCH($C48,Fournisseurs!$A$5:$A$24,0)),""))</f>
        <v>0</v>
      </c>
      <c r="W48" s="18" t="n">
        <f aca="false">IF($C48="","",IFERROR(INDEX(Fournisseurs!$H$5:$H$24,MATCH($C48,Fournisseurs!$A$5:$A$24,0)),""))</f>
        <v>0</v>
      </c>
      <c r="X48" s="18" t="n">
        <f aca="false">IF($C48="","",IFERROR(INDEX(Fournisseurs!$B$5:$B$24,MATCH($C48,Fournisseurs!$A$5:$A$24,0)),""))</f>
        <v>0</v>
      </c>
      <c r="Y48" s="18" t="n">
        <f aca="false">IF($A48="","",IF(AND($A48&lt;&gt;"",$C48&lt;&gt;"",ISNUMBER($I48),ISNUMBER($J48),ISNUMBER($M48)),IF(AND($I48&gt;=1,$J48&gt;0,OR($K48="HT",$K48="TTC"),$M48&gt;=1,IFERROR(INDEX(Fournisseurs!$T$5:$T$24,MATCH($C48,Fournisseurs!$A$5:$A$24,0)),0)=1),1,0),0))</f>
        <v>0</v>
      </c>
      <c r="Z48" s="27" t="str">
        <f aca="false">IF($Y48=1,$J48*(1-N($L48)),"")</f>
        <v/>
      </c>
      <c r="AA48" s="28" t="str">
        <f aca="false">IF($Y48=1,IF($K48="TTC",$Z48/(1+$V48),$Z48),"")</f>
        <v/>
      </c>
      <c r="AB48" s="28" t="str">
        <f aca="false">IF($Y48=1,IF($K48="TTC",$Z48-$AA48,$AA48*$V48),"")</f>
        <v/>
      </c>
      <c r="AC48" s="27" t="str">
        <f aca="false">IF($Y48=1,$AA48*$U48*$M48,"")</f>
        <v/>
      </c>
      <c r="AD48" s="26" t="str">
        <f aca="false">IF($Y48=1,$AC48/SUMIFS($AC$6:$AC$205,$C$6:$C$205,$C48,$Y$6:$Y$205,1),"")</f>
        <v/>
      </c>
      <c r="AE48" s="28" t="str">
        <f aca="false">IF($Y48=1,(INDEX(Fournisseurs!$J$5:$J$24,MATCH($C48,Fournisseurs!$A$5:$A$24,0))+INDEX(Fournisseurs!$K$5:$K$24,MATCH($C48,Fournisseurs!$A$5:$A$24,0)))*$U48*$AD48/($I48*$M48),"")</f>
        <v/>
      </c>
      <c r="AF48" s="28" t="str">
        <f aca="false">IF($Y48=1,INDEX(Fournisseurs!$L$5:$L$24,MATCH($C48,Fournisseurs!$A$5:$A$24,0))*$AD48/($I48*$M48),"")</f>
        <v/>
      </c>
      <c r="AG48" s="28" t="str">
        <f aca="false">IF($Y48=1,$AA48*$U48/$I48,"")</f>
        <v/>
      </c>
      <c r="AH48" s="28" t="str">
        <f aca="false">IF($Y48=1,$AB48*$U48/$I48,"")</f>
        <v/>
      </c>
      <c r="AI48" s="18" t="str">
        <f aca="false">IF($Y48=1,IF(AND(Paramètres!$B$4="EFFECTIVE",$W48="CH",$AB48&gt;0),1,0),"")</f>
        <v/>
      </c>
      <c r="AJ48" s="28" t="str">
        <f aca="false">IF($Y48=1,IF($X48&lt;&gt;"CH",($AG48+$AE48+$AF48)*Paramètres!$B$14,0),"")</f>
        <v/>
      </c>
      <c r="AK48" s="29" t="str">
        <f aca="false">IF($Y48=1,$AG48+IF($AI48=1,0,$AH48)+$AE48+$AF48+IF(Paramètres!$B$4="NOT_REGISTERED",$AJ48,0),"")</f>
        <v/>
      </c>
      <c r="AL48" s="27" t="str">
        <f aca="false">IF($Y48=1,($AK48+Paramètres!$B$7+Paramètres!$B$8+Paramètres!$B$9+Paramètres!$B$10)/((1-Paramètres!$B$11)/(1+Paramètres!$B$5)-Paramètres!$B$6),"")</f>
        <v/>
      </c>
      <c r="AM48" s="26" t="str">
        <f aca="false">IF(AND($Y48=1,ISNUMBER($R48)),IF($R48&gt;0,$AL48/$R48-1,""),"")</f>
        <v/>
      </c>
      <c r="AN48" s="27" t="str">
        <f aca="false">IF(AND($Y48=1,ISNUMBER($R48)),IF($R48&gt;0,$R48/(1+Paramètres!$B$5)-$AK48-($R48*Paramètres!$B$6+Paramètres!$B$7)-Paramètres!$B$8-Paramètres!$B$9-Paramètres!$B$10,""),"")</f>
        <v/>
      </c>
      <c r="AO48" s="26" t="str">
        <f aca="false">IF(ISNUMBER($AN48),$AN48/($R48/(1+Paramètres!$B$5)),"")</f>
        <v/>
      </c>
      <c r="AP48" s="30" t="str">
        <f aca="false">IF($A48="","",IF($Y48&lt;&gt;1,"INCOMPLET",IF(NOT(ISNUMBER($AM48)),"SANS RÉF. MARCHÉ",IF($AM48&lt;=Paramètres!$B$12,"OK",IF(AND($AO48&gt;=Paramètres!$B$15,$AN48&gt;=Paramètres!$B$16),"À REVOIR","NON RENTABLE")))))</f>
        <v>INCOMPLET</v>
      </c>
      <c r="AQ48" s="18" t="str">
        <f aca="false">TRIM(IF(AND($Y48=1,ISNUMBER($N48)),IF($M48&lt;$N48,"MOQ ",""),"")&amp;IF(AND($Y48=1,ISNUMBER($O48)),IF($O48&lt;$I48*$M48,"DISPO ",""),"")&amp;IF($S48="O","FICTIF ","")&amp;IF($Y48=1,IF(AND($K48="TTC",$W48&lt;&gt;"CH"),"TVA-ÉTRANGÈRE ",""),""))</f>
        <v/>
      </c>
      <c r="AR48" s="18" t="str">
        <f aca="false">IF($Y48=1,COUNTIFS($A$6:$A$205,$A48,$AK$6:$AK$205,"&lt;"&amp;$AK48,$Y$6:$Y$205,1)+1,"")</f>
        <v/>
      </c>
      <c r="AS48" s="18" t="str">
        <f aca="false">IF(ISNUMBER($AR48),$A48&amp;"|"&amp;$AR48,"")</f>
        <v/>
      </c>
      <c r="AT48" s="27" t="str">
        <f aca="false">IF($Y48=1,$AK48*$I48*$M48,"")</f>
        <v/>
      </c>
    </row>
    <row r="49" customFormat="false" ht="15" hidden="false" customHeight="false" outlineLevel="0" collapsed="false">
      <c r="A49" s="9" t="s">
        <v>156</v>
      </c>
      <c r="B49" s="9" t="s">
        <v>157</v>
      </c>
      <c r="C49" s="9" t="s">
        <v>80</v>
      </c>
      <c r="D49" s="9"/>
      <c r="E49" s="9"/>
      <c r="F49" s="9"/>
      <c r="G49" s="9" t="s">
        <v>158</v>
      </c>
      <c r="H49" s="9" t="s">
        <v>155</v>
      </c>
      <c r="I49" s="9"/>
      <c r="J49" s="13"/>
      <c r="K49" s="9"/>
      <c r="L49" s="12"/>
      <c r="M49" s="9"/>
      <c r="N49" s="9"/>
      <c r="O49" s="9"/>
      <c r="P49" s="9"/>
      <c r="Q49" s="16"/>
      <c r="R49" s="13"/>
      <c r="S49" s="9" t="s">
        <v>78</v>
      </c>
      <c r="T49" s="18" t="n">
        <f aca="false">IF($C49="","",IFERROR(INDEX(Fournisseurs!$C$5:$C$24,MATCH($C49,Fournisseurs!$A$5:$A$24,0)),""))</f>
        <v>0</v>
      </c>
      <c r="U49" s="25" t="n">
        <f aca="false">IF($C49="","",IFERROR(INDEX(Fournisseurs!$D$5:$D$24,MATCH($C49,Fournisseurs!$A$5:$A$24,0)),""))</f>
        <v>0</v>
      </c>
      <c r="V49" s="26" t="n">
        <f aca="false">IF($C49="","",IFERROR(INDEX(Fournisseurs!$G$5:$G$24,MATCH($C49,Fournisseurs!$A$5:$A$24,0)),""))</f>
        <v>0</v>
      </c>
      <c r="W49" s="18" t="n">
        <f aca="false">IF($C49="","",IFERROR(INDEX(Fournisseurs!$H$5:$H$24,MATCH($C49,Fournisseurs!$A$5:$A$24,0)),""))</f>
        <v>0</v>
      </c>
      <c r="X49" s="18" t="n">
        <f aca="false">IF($C49="","",IFERROR(INDEX(Fournisseurs!$B$5:$B$24,MATCH($C49,Fournisseurs!$A$5:$A$24,0)),""))</f>
        <v>0</v>
      </c>
      <c r="Y49" s="18" t="n">
        <f aca="false">IF($A49="","",IF(AND($A49&lt;&gt;"",$C49&lt;&gt;"",ISNUMBER($I49),ISNUMBER($J49),ISNUMBER($M49)),IF(AND($I49&gt;=1,$J49&gt;0,OR($K49="HT",$K49="TTC"),$M49&gt;=1,IFERROR(INDEX(Fournisseurs!$T$5:$T$24,MATCH($C49,Fournisseurs!$A$5:$A$24,0)),0)=1),1,0),0))</f>
        <v>0</v>
      </c>
      <c r="Z49" s="27" t="str">
        <f aca="false">IF($Y49=1,$J49*(1-N($L49)),"")</f>
        <v/>
      </c>
      <c r="AA49" s="28" t="str">
        <f aca="false">IF($Y49=1,IF($K49="TTC",$Z49/(1+$V49),$Z49),"")</f>
        <v/>
      </c>
      <c r="AB49" s="28" t="str">
        <f aca="false">IF($Y49=1,IF($K49="TTC",$Z49-$AA49,$AA49*$V49),"")</f>
        <v/>
      </c>
      <c r="AC49" s="27" t="str">
        <f aca="false">IF($Y49=1,$AA49*$U49*$M49,"")</f>
        <v/>
      </c>
      <c r="AD49" s="26" t="str">
        <f aca="false">IF($Y49=1,$AC49/SUMIFS($AC$6:$AC$205,$C$6:$C$205,$C49,$Y$6:$Y$205,1),"")</f>
        <v/>
      </c>
      <c r="AE49" s="28" t="str">
        <f aca="false">IF($Y49=1,(INDEX(Fournisseurs!$J$5:$J$24,MATCH($C49,Fournisseurs!$A$5:$A$24,0))+INDEX(Fournisseurs!$K$5:$K$24,MATCH($C49,Fournisseurs!$A$5:$A$24,0)))*$U49*$AD49/($I49*$M49),"")</f>
        <v/>
      </c>
      <c r="AF49" s="28" t="str">
        <f aca="false">IF($Y49=1,INDEX(Fournisseurs!$L$5:$L$24,MATCH($C49,Fournisseurs!$A$5:$A$24,0))*$AD49/($I49*$M49),"")</f>
        <v/>
      </c>
      <c r="AG49" s="28" t="str">
        <f aca="false">IF($Y49=1,$AA49*$U49/$I49,"")</f>
        <v/>
      </c>
      <c r="AH49" s="28" t="str">
        <f aca="false">IF($Y49=1,$AB49*$U49/$I49,"")</f>
        <v/>
      </c>
      <c r="AI49" s="18" t="str">
        <f aca="false">IF($Y49=1,IF(AND(Paramètres!$B$4="EFFECTIVE",$W49="CH",$AB49&gt;0),1,0),"")</f>
        <v/>
      </c>
      <c r="AJ49" s="28" t="str">
        <f aca="false">IF($Y49=1,IF($X49&lt;&gt;"CH",($AG49+$AE49+$AF49)*Paramètres!$B$14,0),"")</f>
        <v/>
      </c>
      <c r="AK49" s="29" t="str">
        <f aca="false">IF($Y49=1,$AG49+IF($AI49=1,0,$AH49)+$AE49+$AF49+IF(Paramètres!$B$4="NOT_REGISTERED",$AJ49,0),"")</f>
        <v/>
      </c>
      <c r="AL49" s="27" t="str">
        <f aca="false">IF($Y49=1,($AK49+Paramètres!$B$7+Paramètres!$B$8+Paramètres!$B$9+Paramètres!$B$10)/((1-Paramètres!$B$11)/(1+Paramètres!$B$5)-Paramètres!$B$6),"")</f>
        <v/>
      </c>
      <c r="AM49" s="26" t="str">
        <f aca="false">IF(AND($Y49=1,ISNUMBER($R49)),IF($R49&gt;0,$AL49/$R49-1,""),"")</f>
        <v/>
      </c>
      <c r="AN49" s="27" t="str">
        <f aca="false">IF(AND($Y49=1,ISNUMBER($R49)),IF($R49&gt;0,$R49/(1+Paramètres!$B$5)-$AK49-($R49*Paramètres!$B$6+Paramètres!$B$7)-Paramètres!$B$8-Paramètres!$B$9-Paramètres!$B$10,""),"")</f>
        <v/>
      </c>
      <c r="AO49" s="26" t="str">
        <f aca="false">IF(ISNUMBER($AN49),$AN49/($R49/(1+Paramètres!$B$5)),"")</f>
        <v/>
      </c>
      <c r="AP49" s="30" t="str">
        <f aca="false">IF($A49="","",IF($Y49&lt;&gt;1,"INCOMPLET",IF(NOT(ISNUMBER($AM49)),"SANS RÉF. MARCHÉ",IF($AM49&lt;=Paramètres!$B$12,"OK",IF(AND($AO49&gt;=Paramètres!$B$15,$AN49&gt;=Paramètres!$B$16),"À REVOIR","NON RENTABLE")))))</f>
        <v>INCOMPLET</v>
      </c>
      <c r="AQ49" s="18" t="str">
        <f aca="false">TRIM(IF(AND($Y49=1,ISNUMBER($N49)),IF($M49&lt;$N49,"MOQ ",""),"")&amp;IF(AND($Y49=1,ISNUMBER($O49)),IF($O49&lt;$I49*$M49,"DISPO ",""),"")&amp;IF($S49="O","FICTIF ","")&amp;IF($Y49=1,IF(AND($K49="TTC",$W49&lt;&gt;"CH"),"TVA-ÉTRANGÈRE ",""),""))</f>
        <v/>
      </c>
      <c r="AR49" s="18" t="str">
        <f aca="false">IF($Y49=1,COUNTIFS($A$6:$A$205,$A49,$AK$6:$AK$205,"&lt;"&amp;$AK49,$Y$6:$Y$205,1)+1,"")</f>
        <v/>
      </c>
      <c r="AS49" s="18" t="str">
        <f aca="false">IF(ISNUMBER($AR49),$A49&amp;"|"&amp;$AR49,"")</f>
        <v/>
      </c>
      <c r="AT49" s="27" t="str">
        <f aca="false">IF($Y49=1,$AK49*$I49*$M49,"")</f>
        <v/>
      </c>
    </row>
    <row r="50" customFormat="false" ht="15" hidden="false" customHeight="false" outlineLevel="0" collapsed="false">
      <c r="A50" s="9" t="s">
        <v>159</v>
      </c>
      <c r="B50" s="9" t="s">
        <v>160</v>
      </c>
      <c r="C50" s="9" t="s">
        <v>80</v>
      </c>
      <c r="D50" s="9"/>
      <c r="E50" s="9"/>
      <c r="F50" s="9"/>
      <c r="G50" s="9" t="s">
        <v>161</v>
      </c>
      <c r="H50" s="9" t="s">
        <v>148</v>
      </c>
      <c r="I50" s="9"/>
      <c r="J50" s="13"/>
      <c r="K50" s="9"/>
      <c r="L50" s="12"/>
      <c r="M50" s="9"/>
      <c r="N50" s="9"/>
      <c r="O50" s="9"/>
      <c r="P50" s="9"/>
      <c r="Q50" s="16"/>
      <c r="R50" s="13"/>
      <c r="S50" s="9" t="s">
        <v>78</v>
      </c>
      <c r="T50" s="18" t="n">
        <f aca="false">IF($C50="","",IFERROR(INDEX(Fournisseurs!$C$5:$C$24,MATCH($C50,Fournisseurs!$A$5:$A$24,0)),""))</f>
        <v>0</v>
      </c>
      <c r="U50" s="25" t="n">
        <f aca="false">IF($C50="","",IFERROR(INDEX(Fournisseurs!$D$5:$D$24,MATCH($C50,Fournisseurs!$A$5:$A$24,0)),""))</f>
        <v>0</v>
      </c>
      <c r="V50" s="26" t="n">
        <f aca="false">IF($C50="","",IFERROR(INDEX(Fournisseurs!$G$5:$G$24,MATCH($C50,Fournisseurs!$A$5:$A$24,0)),""))</f>
        <v>0</v>
      </c>
      <c r="W50" s="18" t="n">
        <f aca="false">IF($C50="","",IFERROR(INDEX(Fournisseurs!$H$5:$H$24,MATCH($C50,Fournisseurs!$A$5:$A$24,0)),""))</f>
        <v>0</v>
      </c>
      <c r="X50" s="18" t="n">
        <f aca="false">IF($C50="","",IFERROR(INDEX(Fournisseurs!$B$5:$B$24,MATCH($C50,Fournisseurs!$A$5:$A$24,0)),""))</f>
        <v>0</v>
      </c>
      <c r="Y50" s="18" t="n">
        <f aca="false">IF($A50="","",IF(AND($A50&lt;&gt;"",$C50&lt;&gt;"",ISNUMBER($I50),ISNUMBER($J50),ISNUMBER($M50)),IF(AND($I50&gt;=1,$J50&gt;0,OR($K50="HT",$K50="TTC"),$M50&gt;=1,IFERROR(INDEX(Fournisseurs!$T$5:$T$24,MATCH($C50,Fournisseurs!$A$5:$A$24,0)),0)=1),1,0),0))</f>
        <v>0</v>
      </c>
      <c r="Z50" s="27" t="str">
        <f aca="false">IF($Y50=1,$J50*(1-N($L50)),"")</f>
        <v/>
      </c>
      <c r="AA50" s="28" t="str">
        <f aca="false">IF($Y50=1,IF($K50="TTC",$Z50/(1+$V50),$Z50),"")</f>
        <v/>
      </c>
      <c r="AB50" s="28" t="str">
        <f aca="false">IF($Y50=1,IF($K50="TTC",$Z50-$AA50,$AA50*$V50),"")</f>
        <v/>
      </c>
      <c r="AC50" s="27" t="str">
        <f aca="false">IF($Y50=1,$AA50*$U50*$M50,"")</f>
        <v/>
      </c>
      <c r="AD50" s="26" t="str">
        <f aca="false">IF($Y50=1,$AC50/SUMIFS($AC$6:$AC$205,$C$6:$C$205,$C50,$Y$6:$Y$205,1),"")</f>
        <v/>
      </c>
      <c r="AE50" s="28" t="str">
        <f aca="false">IF($Y50=1,(INDEX(Fournisseurs!$J$5:$J$24,MATCH($C50,Fournisseurs!$A$5:$A$24,0))+INDEX(Fournisseurs!$K$5:$K$24,MATCH($C50,Fournisseurs!$A$5:$A$24,0)))*$U50*$AD50/($I50*$M50),"")</f>
        <v/>
      </c>
      <c r="AF50" s="28" t="str">
        <f aca="false">IF($Y50=1,INDEX(Fournisseurs!$L$5:$L$24,MATCH($C50,Fournisseurs!$A$5:$A$24,0))*$AD50/($I50*$M50),"")</f>
        <v/>
      </c>
      <c r="AG50" s="28" t="str">
        <f aca="false">IF($Y50=1,$AA50*$U50/$I50,"")</f>
        <v/>
      </c>
      <c r="AH50" s="28" t="str">
        <f aca="false">IF($Y50=1,$AB50*$U50/$I50,"")</f>
        <v/>
      </c>
      <c r="AI50" s="18" t="str">
        <f aca="false">IF($Y50=1,IF(AND(Paramètres!$B$4="EFFECTIVE",$W50="CH",$AB50&gt;0),1,0),"")</f>
        <v/>
      </c>
      <c r="AJ50" s="28" t="str">
        <f aca="false">IF($Y50=1,IF($X50&lt;&gt;"CH",($AG50+$AE50+$AF50)*Paramètres!$B$14,0),"")</f>
        <v/>
      </c>
      <c r="AK50" s="29" t="str">
        <f aca="false">IF($Y50=1,$AG50+IF($AI50=1,0,$AH50)+$AE50+$AF50+IF(Paramètres!$B$4="NOT_REGISTERED",$AJ50,0),"")</f>
        <v/>
      </c>
      <c r="AL50" s="27" t="str">
        <f aca="false">IF($Y50=1,($AK50+Paramètres!$B$7+Paramètres!$B$8+Paramètres!$B$9+Paramètres!$B$10)/((1-Paramètres!$B$11)/(1+Paramètres!$B$5)-Paramètres!$B$6),"")</f>
        <v/>
      </c>
      <c r="AM50" s="26" t="str">
        <f aca="false">IF(AND($Y50=1,ISNUMBER($R50)),IF($R50&gt;0,$AL50/$R50-1,""),"")</f>
        <v/>
      </c>
      <c r="AN50" s="27" t="str">
        <f aca="false">IF(AND($Y50=1,ISNUMBER($R50)),IF($R50&gt;0,$R50/(1+Paramètres!$B$5)-$AK50-($R50*Paramètres!$B$6+Paramètres!$B$7)-Paramètres!$B$8-Paramètres!$B$9-Paramètres!$B$10,""),"")</f>
        <v/>
      </c>
      <c r="AO50" s="26" t="str">
        <f aca="false">IF(ISNUMBER($AN50),$AN50/($R50/(1+Paramètres!$B$5)),"")</f>
        <v/>
      </c>
      <c r="AP50" s="30" t="str">
        <f aca="false">IF($A50="","",IF($Y50&lt;&gt;1,"INCOMPLET",IF(NOT(ISNUMBER($AM50)),"SANS RÉF. MARCHÉ",IF($AM50&lt;=Paramètres!$B$12,"OK",IF(AND($AO50&gt;=Paramètres!$B$15,$AN50&gt;=Paramètres!$B$16),"À REVOIR","NON RENTABLE")))))</f>
        <v>INCOMPLET</v>
      </c>
      <c r="AQ50" s="18" t="str">
        <f aca="false">TRIM(IF(AND($Y50=1,ISNUMBER($N50)),IF($M50&lt;$N50,"MOQ ",""),"")&amp;IF(AND($Y50=1,ISNUMBER($O50)),IF($O50&lt;$I50*$M50,"DISPO ",""),"")&amp;IF($S50="O","FICTIF ","")&amp;IF($Y50=1,IF(AND($K50="TTC",$W50&lt;&gt;"CH"),"TVA-ÉTRANGÈRE ",""),""))</f>
        <v/>
      </c>
      <c r="AR50" s="18" t="str">
        <f aca="false">IF($Y50=1,COUNTIFS($A$6:$A$205,$A50,$AK$6:$AK$205,"&lt;"&amp;$AK50,$Y$6:$Y$205,1)+1,"")</f>
        <v/>
      </c>
      <c r="AS50" s="18" t="str">
        <f aca="false">IF(ISNUMBER($AR50),$A50&amp;"|"&amp;$AR50,"")</f>
        <v/>
      </c>
      <c r="AT50" s="27" t="str">
        <f aca="false">IF($Y50=1,$AK50*$I50*$M50,"")</f>
        <v/>
      </c>
    </row>
    <row r="51" customFormat="false" ht="15" hidden="false" customHeight="false" outlineLevel="0" collapsed="false">
      <c r="A51" s="9" t="s">
        <v>162</v>
      </c>
      <c r="B51" s="9" t="s">
        <v>163</v>
      </c>
      <c r="C51" s="9" t="s">
        <v>80</v>
      </c>
      <c r="D51" s="9"/>
      <c r="E51" s="9"/>
      <c r="F51" s="9"/>
      <c r="G51" s="9" t="s">
        <v>154</v>
      </c>
      <c r="H51" s="9" t="s">
        <v>148</v>
      </c>
      <c r="I51" s="9"/>
      <c r="J51" s="13"/>
      <c r="K51" s="9"/>
      <c r="L51" s="12"/>
      <c r="M51" s="9"/>
      <c r="N51" s="9"/>
      <c r="O51" s="9"/>
      <c r="P51" s="9"/>
      <c r="Q51" s="16"/>
      <c r="R51" s="13"/>
      <c r="S51" s="9" t="s">
        <v>78</v>
      </c>
      <c r="T51" s="18" t="n">
        <f aca="false">IF($C51="","",IFERROR(INDEX(Fournisseurs!$C$5:$C$24,MATCH($C51,Fournisseurs!$A$5:$A$24,0)),""))</f>
        <v>0</v>
      </c>
      <c r="U51" s="25" t="n">
        <f aca="false">IF($C51="","",IFERROR(INDEX(Fournisseurs!$D$5:$D$24,MATCH($C51,Fournisseurs!$A$5:$A$24,0)),""))</f>
        <v>0</v>
      </c>
      <c r="V51" s="26" t="n">
        <f aca="false">IF($C51="","",IFERROR(INDEX(Fournisseurs!$G$5:$G$24,MATCH($C51,Fournisseurs!$A$5:$A$24,0)),""))</f>
        <v>0</v>
      </c>
      <c r="W51" s="18" t="n">
        <f aca="false">IF($C51="","",IFERROR(INDEX(Fournisseurs!$H$5:$H$24,MATCH($C51,Fournisseurs!$A$5:$A$24,0)),""))</f>
        <v>0</v>
      </c>
      <c r="X51" s="18" t="n">
        <f aca="false">IF($C51="","",IFERROR(INDEX(Fournisseurs!$B$5:$B$24,MATCH($C51,Fournisseurs!$A$5:$A$24,0)),""))</f>
        <v>0</v>
      </c>
      <c r="Y51" s="18" t="n">
        <f aca="false">IF($A51="","",IF(AND($A51&lt;&gt;"",$C51&lt;&gt;"",ISNUMBER($I51),ISNUMBER($J51),ISNUMBER($M51)),IF(AND($I51&gt;=1,$J51&gt;0,OR($K51="HT",$K51="TTC"),$M51&gt;=1,IFERROR(INDEX(Fournisseurs!$T$5:$T$24,MATCH($C51,Fournisseurs!$A$5:$A$24,0)),0)=1),1,0),0))</f>
        <v>0</v>
      </c>
      <c r="Z51" s="27" t="str">
        <f aca="false">IF($Y51=1,$J51*(1-N($L51)),"")</f>
        <v/>
      </c>
      <c r="AA51" s="28" t="str">
        <f aca="false">IF($Y51=1,IF($K51="TTC",$Z51/(1+$V51),$Z51),"")</f>
        <v/>
      </c>
      <c r="AB51" s="28" t="str">
        <f aca="false">IF($Y51=1,IF($K51="TTC",$Z51-$AA51,$AA51*$V51),"")</f>
        <v/>
      </c>
      <c r="AC51" s="27" t="str">
        <f aca="false">IF($Y51=1,$AA51*$U51*$M51,"")</f>
        <v/>
      </c>
      <c r="AD51" s="26" t="str">
        <f aca="false">IF($Y51=1,$AC51/SUMIFS($AC$6:$AC$205,$C$6:$C$205,$C51,$Y$6:$Y$205,1),"")</f>
        <v/>
      </c>
      <c r="AE51" s="28" t="str">
        <f aca="false">IF($Y51=1,(INDEX(Fournisseurs!$J$5:$J$24,MATCH($C51,Fournisseurs!$A$5:$A$24,0))+INDEX(Fournisseurs!$K$5:$K$24,MATCH($C51,Fournisseurs!$A$5:$A$24,0)))*$U51*$AD51/($I51*$M51),"")</f>
        <v/>
      </c>
      <c r="AF51" s="28" t="str">
        <f aca="false">IF($Y51=1,INDEX(Fournisseurs!$L$5:$L$24,MATCH($C51,Fournisseurs!$A$5:$A$24,0))*$AD51/($I51*$M51),"")</f>
        <v/>
      </c>
      <c r="AG51" s="28" t="str">
        <f aca="false">IF($Y51=1,$AA51*$U51/$I51,"")</f>
        <v/>
      </c>
      <c r="AH51" s="28" t="str">
        <f aca="false">IF($Y51=1,$AB51*$U51/$I51,"")</f>
        <v/>
      </c>
      <c r="AI51" s="18" t="str">
        <f aca="false">IF($Y51=1,IF(AND(Paramètres!$B$4="EFFECTIVE",$W51="CH",$AB51&gt;0),1,0),"")</f>
        <v/>
      </c>
      <c r="AJ51" s="28" t="str">
        <f aca="false">IF($Y51=1,IF($X51&lt;&gt;"CH",($AG51+$AE51+$AF51)*Paramètres!$B$14,0),"")</f>
        <v/>
      </c>
      <c r="AK51" s="29" t="str">
        <f aca="false">IF($Y51=1,$AG51+IF($AI51=1,0,$AH51)+$AE51+$AF51+IF(Paramètres!$B$4="NOT_REGISTERED",$AJ51,0),"")</f>
        <v/>
      </c>
      <c r="AL51" s="27" t="str">
        <f aca="false">IF($Y51=1,($AK51+Paramètres!$B$7+Paramètres!$B$8+Paramètres!$B$9+Paramètres!$B$10)/((1-Paramètres!$B$11)/(1+Paramètres!$B$5)-Paramètres!$B$6),"")</f>
        <v/>
      </c>
      <c r="AM51" s="26" t="str">
        <f aca="false">IF(AND($Y51=1,ISNUMBER($R51)),IF($R51&gt;0,$AL51/$R51-1,""),"")</f>
        <v/>
      </c>
      <c r="AN51" s="27" t="str">
        <f aca="false">IF(AND($Y51=1,ISNUMBER($R51)),IF($R51&gt;0,$R51/(1+Paramètres!$B$5)-$AK51-($R51*Paramètres!$B$6+Paramètres!$B$7)-Paramètres!$B$8-Paramètres!$B$9-Paramètres!$B$10,""),"")</f>
        <v/>
      </c>
      <c r="AO51" s="26" t="str">
        <f aca="false">IF(ISNUMBER($AN51),$AN51/($R51/(1+Paramètres!$B$5)),"")</f>
        <v/>
      </c>
      <c r="AP51" s="30" t="str">
        <f aca="false">IF($A51="","",IF($Y51&lt;&gt;1,"INCOMPLET",IF(NOT(ISNUMBER($AM51)),"SANS RÉF. MARCHÉ",IF($AM51&lt;=Paramètres!$B$12,"OK",IF(AND($AO51&gt;=Paramètres!$B$15,$AN51&gt;=Paramètres!$B$16),"À REVOIR","NON RENTABLE")))))</f>
        <v>INCOMPLET</v>
      </c>
      <c r="AQ51" s="18" t="str">
        <f aca="false">TRIM(IF(AND($Y51=1,ISNUMBER($N51)),IF($M51&lt;$N51,"MOQ ",""),"")&amp;IF(AND($Y51=1,ISNUMBER($O51)),IF($O51&lt;$I51*$M51,"DISPO ",""),"")&amp;IF($S51="O","FICTIF ","")&amp;IF($Y51=1,IF(AND($K51="TTC",$W51&lt;&gt;"CH"),"TVA-ÉTRANGÈRE ",""),""))</f>
        <v/>
      </c>
      <c r="AR51" s="18" t="str">
        <f aca="false">IF($Y51=1,COUNTIFS($A$6:$A$205,$A51,$AK$6:$AK$205,"&lt;"&amp;$AK51,$Y$6:$Y$205,1)+1,"")</f>
        <v/>
      </c>
      <c r="AS51" s="18" t="str">
        <f aca="false">IF(ISNUMBER($AR51),$A51&amp;"|"&amp;$AR51,"")</f>
        <v/>
      </c>
      <c r="AT51" s="27" t="str">
        <f aca="false">IF($Y51=1,$AK51*$I51*$M51,"")</f>
        <v/>
      </c>
    </row>
    <row r="52" customFormat="false" ht="15" hidden="false" customHeight="false" outlineLevel="0" collapsed="false">
      <c r="A52" s="9" t="s">
        <v>164</v>
      </c>
      <c r="B52" s="9" t="s">
        <v>165</v>
      </c>
      <c r="C52" s="9" t="s">
        <v>80</v>
      </c>
      <c r="D52" s="9"/>
      <c r="E52" s="9"/>
      <c r="F52" s="9"/>
      <c r="G52" s="9" t="s">
        <v>166</v>
      </c>
      <c r="H52" s="9" t="s">
        <v>148</v>
      </c>
      <c r="I52" s="9"/>
      <c r="J52" s="13"/>
      <c r="K52" s="9"/>
      <c r="L52" s="12"/>
      <c r="M52" s="9"/>
      <c r="N52" s="9"/>
      <c r="O52" s="9"/>
      <c r="P52" s="9"/>
      <c r="Q52" s="16"/>
      <c r="R52" s="13"/>
      <c r="S52" s="9" t="s">
        <v>78</v>
      </c>
      <c r="T52" s="18" t="n">
        <f aca="false">IF($C52="","",IFERROR(INDEX(Fournisseurs!$C$5:$C$24,MATCH($C52,Fournisseurs!$A$5:$A$24,0)),""))</f>
        <v>0</v>
      </c>
      <c r="U52" s="25" t="n">
        <f aca="false">IF($C52="","",IFERROR(INDEX(Fournisseurs!$D$5:$D$24,MATCH($C52,Fournisseurs!$A$5:$A$24,0)),""))</f>
        <v>0</v>
      </c>
      <c r="V52" s="26" t="n">
        <f aca="false">IF($C52="","",IFERROR(INDEX(Fournisseurs!$G$5:$G$24,MATCH($C52,Fournisseurs!$A$5:$A$24,0)),""))</f>
        <v>0</v>
      </c>
      <c r="W52" s="18" t="n">
        <f aca="false">IF($C52="","",IFERROR(INDEX(Fournisseurs!$H$5:$H$24,MATCH($C52,Fournisseurs!$A$5:$A$24,0)),""))</f>
        <v>0</v>
      </c>
      <c r="X52" s="18" t="n">
        <f aca="false">IF($C52="","",IFERROR(INDEX(Fournisseurs!$B$5:$B$24,MATCH($C52,Fournisseurs!$A$5:$A$24,0)),""))</f>
        <v>0</v>
      </c>
      <c r="Y52" s="18" t="n">
        <f aca="false">IF($A52="","",IF(AND($A52&lt;&gt;"",$C52&lt;&gt;"",ISNUMBER($I52),ISNUMBER($J52),ISNUMBER($M52)),IF(AND($I52&gt;=1,$J52&gt;0,OR($K52="HT",$K52="TTC"),$M52&gt;=1,IFERROR(INDEX(Fournisseurs!$T$5:$T$24,MATCH($C52,Fournisseurs!$A$5:$A$24,0)),0)=1),1,0),0))</f>
        <v>0</v>
      </c>
      <c r="Z52" s="27" t="str">
        <f aca="false">IF($Y52=1,$J52*(1-N($L52)),"")</f>
        <v/>
      </c>
      <c r="AA52" s="28" t="str">
        <f aca="false">IF($Y52=1,IF($K52="TTC",$Z52/(1+$V52),$Z52),"")</f>
        <v/>
      </c>
      <c r="AB52" s="28" t="str">
        <f aca="false">IF($Y52=1,IF($K52="TTC",$Z52-$AA52,$AA52*$V52),"")</f>
        <v/>
      </c>
      <c r="AC52" s="27" t="str">
        <f aca="false">IF($Y52=1,$AA52*$U52*$M52,"")</f>
        <v/>
      </c>
      <c r="AD52" s="26" t="str">
        <f aca="false">IF($Y52=1,$AC52/SUMIFS($AC$6:$AC$205,$C$6:$C$205,$C52,$Y$6:$Y$205,1),"")</f>
        <v/>
      </c>
      <c r="AE52" s="28" t="str">
        <f aca="false">IF($Y52=1,(INDEX(Fournisseurs!$J$5:$J$24,MATCH($C52,Fournisseurs!$A$5:$A$24,0))+INDEX(Fournisseurs!$K$5:$K$24,MATCH($C52,Fournisseurs!$A$5:$A$24,0)))*$U52*$AD52/($I52*$M52),"")</f>
        <v/>
      </c>
      <c r="AF52" s="28" t="str">
        <f aca="false">IF($Y52=1,INDEX(Fournisseurs!$L$5:$L$24,MATCH($C52,Fournisseurs!$A$5:$A$24,0))*$AD52/($I52*$M52),"")</f>
        <v/>
      </c>
      <c r="AG52" s="28" t="str">
        <f aca="false">IF($Y52=1,$AA52*$U52/$I52,"")</f>
        <v/>
      </c>
      <c r="AH52" s="28" t="str">
        <f aca="false">IF($Y52=1,$AB52*$U52/$I52,"")</f>
        <v/>
      </c>
      <c r="AI52" s="18" t="str">
        <f aca="false">IF($Y52=1,IF(AND(Paramètres!$B$4="EFFECTIVE",$W52="CH",$AB52&gt;0),1,0),"")</f>
        <v/>
      </c>
      <c r="AJ52" s="28" t="str">
        <f aca="false">IF($Y52=1,IF($X52&lt;&gt;"CH",($AG52+$AE52+$AF52)*Paramètres!$B$14,0),"")</f>
        <v/>
      </c>
      <c r="AK52" s="29" t="str">
        <f aca="false">IF($Y52=1,$AG52+IF($AI52=1,0,$AH52)+$AE52+$AF52+IF(Paramètres!$B$4="NOT_REGISTERED",$AJ52,0),"")</f>
        <v/>
      </c>
      <c r="AL52" s="27" t="str">
        <f aca="false">IF($Y52=1,($AK52+Paramètres!$B$7+Paramètres!$B$8+Paramètres!$B$9+Paramètres!$B$10)/((1-Paramètres!$B$11)/(1+Paramètres!$B$5)-Paramètres!$B$6),"")</f>
        <v/>
      </c>
      <c r="AM52" s="26" t="str">
        <f aca="false">IF(AND($Y52=1,ISNUMBER($R52)),IF($R52&gt;0,$AL52/$R52-1,""),"")</f>
        <v/>
      </c>
      <c r="AN52" s="27" t="str">
        <f aca="false">IF(AND($Y52=1,ISNUMBER($R52)),IF($R52&gt;0,$R52/(1+Paramètres!$B$5)-$AK52-($R52*Paramètres!$B$6+Paramètres!$B$7)-Paramètres!$B$8-Paramètres!$B$9-Paramètres!$B$10,""),"")</f>
        <v/>
      </c>
      <c r="AO52" s="26" t="str">
        <f aca="false">IF(ISNUMBER($AN52),$AN52/($R52/(1+Paramètres!$B$5)),"")</f>
        <v/>
      </c>
      <c r="AP52" s="30" t="str">
        <f aca="false">IF($A52="","",IF($Y52&lt;&gt;1,"INCOMPLET",IF(NOT(ISNUMBER($AM52)),"SANS RÉF. MARCHÉ",IF($AM52&lt;=Paramètres!$B$12,"OK",IF(AND($AO52&gt;=Paramètres!$B$15,$AN52&gt;=Paramètres!$B$16),"À REVOIR","NON RENTABLE")))))</f>
        <v>INCOMPLET</v>
      </c>
      <c r="AQ52" s="18" t="str">
        <f aca="false">TRIM(IF(AND($Y52=1,ISNUMBER($N52)),IF($M52&lt;$N52,"MOQ ",""),"")&amp;IF(AND($Y52=1,ISNUMBER($O52)),IF($O52&lt;$I52*$M52,"DISPO ",""),"")&amp;IF($S52="O","FICTIF ","")&amp;IF($Y52=1,IF(AND($K52="TTC",$W52&lt;&gt;"CH"),"TVA-ÉTRANGÈRE ",""),""))</f>
        <v/>
      </c>
      <c r="AR52" s="18" t="str">
        <f aca="false">IF($Y52=1,COUNTIFS($A$6:$A$205,$A52,$AK$6:$AK$205,"&lt;"&amp;$AK52,$Y$6:$Y$205,1)+1,"")</f>
        <v/>
      </c>
      <c r="AS52" s="18" t="str">
        <f aca="false">IF(ISNUMBER($AR52),$A52&amp;"|"&amp;$AR52,"")</f>
        <v/>
      </c>
      <c r="AT52" s="27" t="str">
        <f aca="false">IF($Y52=1,$AK52*$I52*$M52,"")</f>
        <v/>
      </c>
    </row>
    <row r="53" customFormat="false" ht="15" hidden="false" customHeight="false" outlineLevel="0" collapsed="false">
      <c r="A53" s="9" t="s">
        <v>167</v>
      </c>
      <c r="B53" s="9" t="s">
        <v>168</v>
      </c>
      <c r="C53" s="9" t="s">
        <v>80</v>
      </c>
      <c r="D53" s="9"/>
      <c r="E53" s="9"/>
      <c r="F53" s="9"/>
      <c r="G53" s="9" t="s">
        <v>161</v>
      </c>
      <c r="H53" s="9" t="s">
        <v>169</v>
      </c>
      <c r="I53" s="9"/>
      <c r="J53" s="13"/>
      <c r="K53" s="9"/>
      <c r="L53" s="12"/>
      <c r="M53" s="9"/>
      <c r="N53" s="9"/>
      <c r="O53" s="9"/>
      <c r="P53" s="9"/>
      <c r="Q53" s="16"/>
      <c r="R53" s="13"/>
      <c r="S53" s="9" t="s">
        <v>78</v>
      </c>
      <c r="T53" s="18" t="n">
        <f aca="false">IF($C53="","",IFERROR(INDEX(Fournisseurs!$C$5:$C$24,MATCH($C53,Fournisseurs!$A$5:$A$24,0)),""))</f>
        <v>0</v>
      </c>
      <c r="U53" s="25" t="n">
        <f aca="false">IF($C53="","",IFERROR(INDEX(Fournisseurs!$D$5:$D$24,MATCH($C53,Fournisseurs!$A$5:$A$24,0)),""))</f>
        <v>0</v>
      </c>
      <c r="V53" s="26" t="n">
        <f aca="false">IF($C53="","",IFERROR(INDEX(Fournisseurs!$G$5:$G$24,MATCH($C53,Fournisseurs!$A$5:$A$24,0)),""))</f>
        <v>0</v>
      </c>
      <c r="W53" s="18" t="n">
        <f aca="false">IF($C53="","",IFERROR(INDEX(Fournisseurs!$H$5:$H$24,MATCH($C53,Fournisseurs!$A$5:$A$24,0)),""))</f>
        <v>0</v>
      </c>
      <c r="X53" s="18" t="n">
        <f aca="false">IF($C53="","",IFERROR(INDEX(Fournisseurs!$B$5:$B$24,MATCH($C53,Fournisseurs!$A$5:$A$24,0)),""))</f>
        <v>0</v>
      </c>
      <c r="Y53" s="18" t="n">
        <f aca="false">IF($A53="","",IF(AND($A53&lt;&gt;"",$C53&lt;&gt;"",ISNUMBER($I53),ISNUMBER($J53),ISNUMBER($M53)),IF(AND($I53&gt;=1,$J53&gt;0,OR($K53="HT",$K53="TTC"),$M53&gt;=1,IFERROR(INDEX(Fournisseurs!$T$5:$T$24,MATCH($C53,Fournisseurs!$A$5:$A$24,0)),0)=1),1,0),0))</f>
        <v>0</v>
      </c>
      <c r="Z53" s="27" t="str">
        <f aca="false">IF($Y53=1,$J53*(1-N($L53)),"")</f>
        <v/>
      </c>
      <c r="AA53" s="28" t="str">
        <f aca="false">IF($Y53=1,IF($K53="TTC",$Z53/(1+$V53),$Z53),"")</f>
        <v/>
      </c>
      <c r="AB53" s="28" t="str">
        <f aca="false">IF($Y53=1,IF($K53="TTC",$Z53-$AA53,$AA53*$V53),"")</f>
        <v/>
      </c>
      <c r="AC53" s="27" t="str">
        <f aca="false">IF($Y53=1,$AA53*$U53*$M53,"")</f>
        <v/>
      </c>
      <c r="AD53" s="26" t="str">
        <f aca="false">IF($Y53=1,$AC53/SUMIFS($AC$6:$AC$205,$C$6:$C$205,$C53,$Y$6:$Y$205,1),"")</f>
        <v/>
      </c>
      <c r="AE53" s="28" t="str">
        <f aca="false">IF($Y53=1,(INDEX(Fournisseurs!$J$5:$J$24,MATCH($C53,Fournisseurs!$A$5:$A$24,0))+INDEX(Fournisseurs!$K$5:$K$24,MATCH($C53,Fournisseurs!$A$5:$A$24,0)))*$U53*$AD53/($I53*$M53),"")</f>
        <v/>
      </c>
      <c r="AF53" s="28" t="str">
        <f aca="false">IF($Y53=1,INDEX(Fournisseurs!$L$5:$L$24,MATCH($C53,Fournisseurs!$A$5:$A$24,0))*$AD53/($I53*$M53),"")</f>
        <v/>
      </c>
      <c r="AG53" s="28" t="str">
        <f aca="false">IF($Y53=1,$AA53*$U53/$I53,"")</f>
        <v/>
      </c>
      <c r="AH53" s="28" t="str">
        <f aca="false">IF($Y53=1,$AB53*$U53/$I53,"")</f>
        <v/>
      </c>
      <c r="AI53" s="18" t="str">
        <f aca="false">IF($Y53=1,IF(AND(Paramètres!$B$4="EFFECTIVE",$W53="CH",$AB53&gt;0),1,0),"")</f>
        <v/>
      </c>
      <c r="AJ53" s="28" t="str">
        <f aca="false">IF($Y53=1,IF($X53&lt;&gt;"CH",($AG53+$AE53+$AF53)*Paramètres!$B$14,0),"")</f>
        <v/>
      </c>
      <c r="AK53" s="29" t="str">
        <f aca="false">IF($Y53=1,$AG53+IF($AI53=1,0,$AH53)+$AE53+$AF53+IF(Paramètres!$B$4="NOT_REGISTERED",$AJ53,0),"")</f>
        <v/>
      </c>
      <c r="AL53" s="27" t="str">
        <f aca="false">IF($Y53=1,($AK53+Paramètres!$B$7+Paramètres!$B$8+Paramètres!$B$9+Paramètres!$B$10)/((1-Paramètres!$B$11)/(1+Paramètres!$B$5)-Paramètres!$B$6),"")</f>
        <v/>
      </c>
      <c r="AM53" s="26" t="str">
        <f aca="false">IF(AND($Y53=1,ISNUMBER($R53)),IF($R53&gt;0,$AL53/$R53-1,""),"")</f>
        <v/>
      </c>
      <c r="AN53" s="27" t="str">
        <f aca="false">IF(AND($Y53=1,ISNUMBER($R53)),IF($R53&gt;0,$R53/(1+Paramètres!$B$5)-$AK53-($R53*Paramètres!$B$6+Paramètres!$B$7)-Paramètres!$B$8-Paramètres!$B$9-Paramètres!$B$10,""),"")</f>
        <v/>
      </c>
      <c r="AO53" s="26" t="str">
        <f aca="false">IF(ISNUMBER($AN53),$AN53/($R53/(1+Paramètres!$B$5)),"")</f>
        <v/>
      </c>
      <c r="AP53" s="30" t="str">
        <f aca="false">IF($A53="","",IF($Y53&lt;&gt;1,"INCOMPLET",IF(NOT(ISNUMBER($AM53)),"SANS RÉF. MARCHÉ",IF($AM53&lt;=Paramètres!$B$12,"OK",IF(AND($AO53&gt;=Paramètres!$B$15,$AN53&gt;=Paramètres!$B$16),"À REVOIR","NON RENTABLE")))))</f>
        <v>INCOMPLET</v>
      </c>
      <c r="AQ53" s="18" t="str">
        <f aca="false">TRIM(IF(AND($Y53=1,ISNUMBER($N53)),IF($M53&lt;$N53,"MOQ ",""),"")&amp;IF(AND($Y53=1,ISNUMBER($O53)),IF($O53&lt;$I53*$M53,"DISPO ",""),"")&amp;IF($S53="O","FICTIF ","")&amp;IF($Y53=1,IF(AND($K53="TTC",$W53&lt;&gt;"CH"),"TVA-ÉTRANGÈRE ",""),""))</f>
        <v/>
      </c>
      <c r="AR53" s="18" t="str">
        <f aca="false">IF($Y53=1,COUNTIFS($A$6:$A$205,$A53,$AK$6:$AK$205,"&lt;"&amp;$AK53,$Y$6:$Y$205,1)+1,"")</f>
        <v/>
      </c>
      <c r="AS53" s="18" t="str">
        <f aca="false">IF(ISNUMBER($AR53),$A53&amp;"|"&amp;$AR53,"")</f>
        <v/>
      </c>
      <c r="AT53" s="27" t="str">
        <f aca="false">IF($Y53=1,$AK53*$I53*$M53,"")</f>
        <v/>
      </c>
    </row>
    <row r="54" customFormat="false" ht="15" hidden="false" customHeight="false" outlineLevel="0" collapsed="false">
      <c r="A54" s="9" t="s">
        <v>170</v>
      </c>
      <c r="B54" s="9" t="s">
        <v>171</v>
      </c>
      <c r="C54" s="9" t="s">
        <v>80</v>
      </c>
      <c r="D54" s="9"/>
      <c r="E54" s="9"/>
      <c r="F54" s="9"/>
      <c r="G54" s="9" t="s">
        <v>154</v>
      </c>
      <c r="H54" s="9" t="s">
        <v>172</v>
      </c>
      <c r="I54" s="9"/>
      <c r="J54" s="13"/>
      <c r="K54" s="9"/>
      <c r="L54" s="12"/>
      <c r="M54" s="9"/>
      <c r="N54" s="9"/>
      <c r="O54" s="9"/>
      <c r="P54" s="9"/>
      <c r="Q54" s="16"/>
      <c r="R54" s="13"/>
      <c r="S54" s="9" t="s">
        <v>78</v>
      </c>
      <c r="T54" s="18" t="n">
        <f aca="false">IF($C54="","",IFERROR(INDEX(Fournisseurs!$C$5:$C$24,MATCH($C54,Fournisseurs!$A$5:$A$24,0)),""))</f>
        <v>0</v>
      </c>
      <c r="U54" s="25" t="n">
        <f aca="false">IF($C54="","",IFERROR(INDEX(Fournisseurs!$D$5:$D$24,MATCH($C54,Fournisseurs!$A$5:$A$24,0)),""))</f>
        <v>0</v>
      </c>
      <c r="V54" s="26" t="n">
        <f aca="false">IF($C54="","",IFERROR(INDEX(Fournisseurs!$G$5:$G$24,MATCH($C54,Fournisseurs!$A$5:$A$24,0)),""))</f>
        <v>0</v>
      </c>
      <c r="W54" s="18" t="n">
        <f aca="false">IF($C54="","",IFERROR(INDEX(Fournisseurs!$H$5:$H$24,MATCH($C54,Fournisseurs!$A$5:$A$24,0)),""))</f>
        <v>0</v>
      </c>
      <c r="X54" s="18" t="n">
        <f aca="false">IF($C54="","",IFERROR(INDEX(Fournisseurs!$B$5:$B$24,MATCH($C54,Fournisseurs!$A$5:$A$24,0)),""))</f>
        <v>0</v>
      </c>
      <c r="Y54" s="18" t="n">
        <f aca="false">IF($A54="","",IF(AND($A54&lt;&gt;"",$C54&lt;&gt;"",ISNUMBER($I54),ISNUMBER($J54),ISNUMBER($M54)),IF(AND($I54&gt;=1,$J54&gt;0,OR($K54="HT",$K54="TTC"),$M54&gt;=1,IFERROR(INDEX(Fournisseurs!$T$5:$T$24,MATCH($C54,Fournisseurs!$A$5:$A$24,0)),0)=1),1,0),0))</f>
        <v>0</v>
      </c>
      <c r="Z54" s="27" t="str">
        <f aca="false">IF($Y54=1,$J54*(1-N($L54)),"")</f>
        <v/>
      </c>
      <c r="AA54" s="28" t="str">
        <f aca="false">IF($Y54=1,IF($K54="TTC",$Z54/(1+$V54),$Z54),"")</f>
        <v/>
      </c>
      <c r="AB54" s="28" t="str">
        <f aca="false">IF($Y54=1,IF($K54="TTC",$Z54-$AA54,$AA54*$V54),"")</f>
        <v/>
      </c>
      <c r="AC54" s="27" t="str">
        <f aca="false">IF($Y54=1,$AA54*$U54*$M54,"")</f>
        <v/>
      </c>
      <c r="AD54" s="26" t="str">
        <f aca="false">IF($Y54=1,$AC54/SUMIFS($AC$6:$AC$205,$C$6:$C$205,$C54,$Y$6:$Y$205,1),"")</f>
        <v/>
      </c>
      <c r="AE54" s="28" t="str">
        <f aca="false">IF($Y54=1,(INDEX(Fournisseurs!$J$5:$J$24,MATCH($C54,Fournisseurs!$A$5:$A$24,0))+INDEX(Fournisseurs!$K$5:$K$24,MATCH($C54,Fournisseurs!$A$5:$A$24,0)))*$U54*$AD54/($I54*$M54),"")</f>
        <v/>
      </c>
      <c r="AF54" s="28" t="str">
        <f aca="false">IF($Y54=1,INDEX(Fournisseurs!$L$5:$L$24,MATCH($C54,Fournisseurs!$A$5:$A$24,0))*$AD54/($I54*$M54),"")</f>
        <v/>
      </c>
      <c r="AG54" s="28" t="str">
        <f aca="false">IF($Y54=1,$AA54*$U54/$I54,"")</f>
        <v/>
      </c>
      <c r="AH54" s="28" t="str">
        <f aca="false">IF($Y54=1,$AB54*$U54/$I54,"")</f>
        <v/>
      </c>
      <c r="AI54" s="18" t="str">
        <f aca="false">IF($Y54=1,IF(AND(Paramètres!$B$4="EFFECTIVE",$W54="CH",$AB54&gt;0),1,0),"")</f>
        <v/>
      </c>
      <c r="AJ54" s="28" t="str">
        <f aca="false">IF($Y54=1,IF($X54&lt;&gt;"CH",($AG54+$AE54+$AF54)*Paramètres!$B$14,0),"")</f>
        <v/>
      </c>
      <c r="AK54" s="29" t="str">
        <f aca="false">IF($Y54=1,$AG54+IF($AI54=1,0,$AH54)+$AE54+$AF54+IF(Paramètres!$B$4="NOT_REGISTERED",$AJ54,0),"")</f>
        <v/>
      </c>
      <c r="AL54" s="27" t="str">
        <f aca="false">IF($Y54=1,($AK54+Paramètres!$B$7+Paramètres!$B$8+Paramètres!$B$9+Paramètres!$B$10)/((1-Paramètres!$B$11)/(1+Paramètres!$B$5)-Paramètres!$B$6),"")</f>
        <v/>
      </c>
      <c r="AM54" s="26" t="str">
        <f aca="false">IF(AND($Y54=1,ISNUMBER($R54)),IF($R54&gt;0,$AL54/$R54-1,""),"")</f>
        <v/>
      </c>
      <c r="AN54" s="27" t="str">
        <f aca="false">IF(AND($Y54=1,ISNUMBER($R54)),IF($R54&gt;0,$R54/(1+Paramètres!$B$5)-$AK54-($R54*Paramètres!$B$6+Paramètres!$B$7)-Paramètres!$B$8-Paramètres!$B$9-Paramètres!$B$10,""),"")</f>
        <v/>
      </c>
      <c r="AO54" s="26" t="str">
        <f aca="false">IF(ISNUMBER($AN54),$AN54/($R54/(1+Paramètres!$B$5)),"")</f>
        <v/>
      </c>
      <c r="AP54" s="30" t="str">
        <f aca="false">IF($A54="","",IF($Y54&lt;&gt;1,"INCOMPLET",IF(NOT(ISNUMBER($AM54)),"SANS RÉF. MARCHÉ",IF($AM54&lt;=Paramètres!$B$12,"OK",IF(AND($AO54&gt;=Paramètres!$B$15,$AN54&gt;=Paramètres!$B$16),"À REVOIR","NON RENTABLE")))))</f>
        <v>INCOMPLET</v>
      </c>
      <c r="AQ54" s="18" t="str">
        <f aca="false">TRIM(IF(AND($Y54=1,ISNUMBER($N54)),IF($M54&lt;$N54,"MOQ ",""),"")&amp;IF(AND($Y54=1,ISNUMBER($O54)),IF($O54&lt;$I54*$M54,"DISPO ",""),"")&amp;IF($S54="O","FICTIF ","")&amp;IF($Y54=1,IF(AND($K54="TTC",$W54&lt;&gt;"CH"),"TVA-ÉTRANGÈRE ",""),""))</f>
        <v/>
      </c>
      <c r="AR54" s="18" t="str">
        <f aca="false">IF($Y54=1,COUNTIFS($A$6:$A$205,$A54,$AK$6:$AK$205,"&lt;"&amp;$AK54,$Y$6:$Y$205,1)+1,"")</f>
        <v/>
      </c>
      <c r="AS54" s="18" t="str">
        <f aca="false">IF(ISNUMBER($AR54),$A54&amp;"|"&amp;$AR54,"")</f>
        <v/>
      </c>
      <c r="AT54" s="27" t="str">
        <f aca="false">IF($Y54=1,$AK54*$I54*$M54,"")</f>
        <v/>
      </c>
    </row>
    <row r="55" customFormat="false" ht="15" hidden="false" customHeight="false" outlineLevel="0" collapsed="false">
      <c r="A55" s="9" t="s">
        <v>173</v>
      </c>
      <c r="B55" s="9" t="s">
        <v>174</v>
      </c>
      <c r="C55" s="9" t="s">
        <v>80</v>
      </c>
      <c r="D55" s="9"/>
      <c r="E55" s="9"/>
      <c r="F55" s="9"/>
      <c r="G55" s="9" t="s">
        <v>158</v>
      </c>
      <c r="H55" s="9" t="s">
        <v>172</v>
      </c>
      <c r="I55" s="9"/>
      <c r="J55" s="13"/>
      <c r="K55" s="9"/>
      <c r="L55" s="12"/>
      <c r="M55" s="9"/>
      <c r="N55" s="9"/>
      <c r="O55" s="9"/>
      <c r="P55" s="9"/>
      <c r="Q55" s="16"/>
      <c r="R55" s="13"/>
      <c r="S55" s="9" t="s">
        <v>78</v>
      </c>
      <c r="T55" s="18" t="n">
        <f aca="false">IF($C55="","",IFERROR(INDEX(Fournisseurs!$C$5:$C$24,MATCH($C55,Fournisseurs!$A$5:$A$24,0)),""))</f>
        <v>0</v>
      </c>
      <c r="U55" s="25" t="n">
        <f aca="false">IF($C55="","",IFERROR(INDEX(Fournisseurs!$D$5:$D$24,MATCH($C55,Fournisseurs!$A$5:$A$24,0)),""))</f>
        <v>0</v>
      </c>
      <c r="V55" s="26" t="n">
        <f aca="false">IF($C55="","",IFERROR(INDEX(Fournisseurs!$G$5:$G$24,MATCH($C55,Fournisseurs!$A$5:$A$24,0)),""))</f>
        <v>0</v>
      </c>
      <c r="W55" s="18" t="n">
        <f aca="false">IF($C55="","",IFERROR(INDEX(Fournisseurs!$H$5:$H$24,MATCH($C55,Fournisseurs!$A$5:$A$24,0)),""))</f>
        <v>0</v>
      </c>
      <c r="X55" s="18" t="n">
        <f aca="false">IF($C55="","",IFERROR(INDEX(Fournisseurs!$B$5:$B$24,MATCH($C55,Fournisseurs!$A$5:$A$24,0)),""))</f>
        <v>0</v>
      </c>
      <c r="Y55" s="18" t="n">
        <f aca="false">IF($A55="","",IF(AND($A55&lt;&gt;"",$C55&lt;&gt;"",ISNUMBER($I55),ISNUMBER($J55),ISNUMBER($M55)),IF(AND($I55&gt;=1,$J55&gt;0,OR($K55="HT",$K55="TTC"),$M55&gt;=1,IFERROR(INDEX(Fournisseurs!$T$5:$T$24,MATCH($C55,Fournisseurs!$A$5:$A$24,0)),0)=1),1,0),0))</f>
        <v>0</v>
      </c>
      <c r="Z55" s="27" t="str">
        <f aca="false">IF($Y55=1,$J55*(1-N($L55)),"")</f>
        <v/>
      </c>
      <c r="AA55" s="28" t="str">
        <f aca="false">IF($Y55=1,IF($K55="TTC",$Z55/(1+$V55),$Z55),"")</f>
        <v/>
      </c>
      <c r="AB55" s="28" t="str">
        <f aca="false">IF($Y55=1,IF($K55="TTC",$Z55-$AA55,$AA55*$V55),"")</f>
        <v/>
      </c>
      <c r="AC55" s="27" t="str">
        <f aca="false">IF($Y55=1,$AA55*$U55*$M55,"")</f>
        <v/>
      </c>
      <c r="AD55" s="26" t="str">
        <f aca="false">IF($Y55=1,$AC55/SUMIFS($AC$6:$AC$205,$C$6:$C$205,$C55,$Y$6:$Y$205,1),"")</f>
        <v/>
      </c>
      <c r="AE55" s="28" t="str">
        <f aca="false">IF($Y55=1,(INDEX(Fournisseurs!$J$5:$J$24,MATCH($C55,Fournisseurs!$A$5:$A$24,0))+INDEX(Fournisseurs!$K$5:$K$24,MATCH($C55,Fournisseurs!$A$5:$A$24,0)))*$U55*$AD55/($I55*$M55),"")</f>
        <v/>
      </c>
      <c r="AF55" s="28" t="str">
        <f aca="false">IF($Y55=1,INDEX(Fournisseurs!$L$5:$L$24,MATCH($C55,Fournisseurs!$A$5:$A$24,0))*$AD55/($I55*$M55),"")</f>
        <v/>
      </c>
      <c r="AG55" s="28" t="str">
        <f aca="false">IF($Y55=1,$AA55*$U55/$I55,"")</f>
        <v/>
      </c>
      <c r="AH55" s="28" t="str">
        <f aca="false">IF($Y55=1,$AB55*$U55/$I55,"")</f>
        <v/>
      </c>
      <c r="AI55" s="18" t="str">
        <f aca="false">IF($Y55=1,IF(AND(Paramètres!$B$4="EFFECTIVE",$W55="CH",$AB55&gt;0),1,0),"")</f>
        <v/>
      </c>
      <c r="AJ55" s="28" t="str">
        <f aca="false">IF($Y55=1,IF($X55&lt;&gt;"CH",($AG55+$AE55+$AF55)*Paramètres!$B$14,0),"")</f>
        <v/>
      </c>
      <c r="AK55" s="29" t="str">
        <f aca="false">IF($Y55=1,$AG55+IF($AI55=1,0,$AH55)+$AE55+$AF55+IF(Paramètres!$B$4="NOT_REGISTERED",$AJ55,0),"")</f>
        <v/>
      </c>
      <c r="AL55" s="27" t="str">
        <f aca="false">IF($Y55=1,($AK55+Paramètres!$B$7+Paramètres!$B$8+Paramètres!$B$9+Paramètres!$B$10)/((1-Paramètres!$B$11)/(1+Paramètres!$B$5)-Paramètres!$B$6),"")</f>
        <v/>
      </c>
      <c r="AM55" s="26" t="str">
        <f aca="false">IF(AND($Y55=1,ISNUMBER($R55)),IF($R55&gt;0,$AL55/$R55-1,""),"")</f>
        <v/>
      </c>
      <c r="AN55" s="27" t="str">
        <f aca="false">IF(AND($Y55=1,ISNUMBER($R55)),IF($R55&gt;0,$R55/(1+Paramètres!$B$5)-$AK55-($R55*Paramètres!$B$6+Paramètres!$B$7)-Paramètres!$B$8-Paramètres!$B$9-Paramètres!$B$10,""),"")</f>
        <v/>
      </c>
      <c r="AO55" s="26" t="str">
        <f aca="false">IF(ISNUMBER($AN55),$AN55/($R55/(1+Paramètres!$B$5)),"")</f>
        <v/>
      </c>
      <c r="AP55" s="30" t="str">
        <f aca="false">IF($A55="","",IF($Y55&lt;&gt;1,"INCOMPLET",IF(NOT(ISNUMBER($AM55)),"SANS RÉF. MARCHÉ",IF($AM55&lt;=Paramètres!$B$12,"OK",IF(AND($AO55&gt;=Paramètres!$B$15,$AN55&gt;=Paramètres!$B$16),"À REVOIR","NON RENTABLE")))))</f>
        <v>INCOMPLET</v>
      </c>
      <c r="AQ55" s="18" t="str">
        <f aca="false">TRIM(IF(AND($Y55=1,ISNUMBER($N55)),IF($M55&lt;$N55,"MOQ ",""),"")&amp;IF(AND($Y55=1,ISNUMBER($O55)),IF($O55&lt;$I55*$M55,"DISPO ",""),"")&amp;IF($S55="O","FICTIF ","")&amp;IF($Y55=1,IF(AND($K55="TTC",$W55&lt;&gt;"CH"),"TVA-ÉTRANGÈRE ",""),""))</f>
        <v/>
      </c>
      <c r="AR55" s="18" t="str">
        <f aca="false">IF($Y55=1,COUNTIFS($A$6:$A$205,$A55,$AK$6:$AK$205,"&lt;"&amp;$AK55,$Y$6:$Y$205,1)+1,"")</f>
        <v/>
      </c>
      <c r="AS55" s="18" t="str">
        <f aca="false">IF(ISNUMBER($AR55),$A55&amp;"|"&amp;$AR55,"")</f>
        <v/>
      </c>
      <c r="AT55" s="27" t="str">
        <f aca="false">IF($Y55=1,$AK55*$I55*$M55,"")</f>
        <v/>
      </c>
    </row>
    <row r="56" customFormat="false" ht="15" hidden="false" customHeight="false" outlineLevel="0" collapsed="false">
      <c r="A56" s="9" t="s">
        <v>175</v>
      </c>
      <c r="B56" s="9" t="s">
        <v>176</v>
      </c>
      <c r="C56" s="9" t="s">
        <v>80</v>
      </c>
      <c r="D56" s="9"/>
      <c r="E56" s="9"/>
      <c r="F56" s="9"/>
      <c r="G56" s="9" t="s">
        <v>161</v>
      </c>
      <c r="H56" s="9" t="s">
        <v>177</v>
      </c>
      <c r="I56" s="9"/>
      <c r="J56" s="13"/>
      <c r="K56" s="9"/>
      <c r="L56" s="12"/>
      <c r="M56" s="9"/>
      <c r="N56" s="9"/>
      <c r="O56" s="9"/>
      <c r="P56" s="9"/>
      <c r="Q56" s="16"/>
      <c r="R56" s="13"/>
      <c r="S56" s="9" t="s">
        <v>78</v>
      </c>
      <c r="T56" s="18" t="n">
        <f aca="false">IF($C56="","",IFERROR(INDEX(Fournisseurs!$C$5:$C$24,MATCH($C56,Fournisseurs!$A$5:$A$24,0)),""))</f>
        <v>0</v>
      </c>
      <c r="U56" s="25" t="n">
        <f aca="false">IF($C56="","",IFERROR(INDEX(Fournisseurs!$D$5:$D$24,MATCH($C56,Fournisseurs!$A$5:$A$24,0)),""))</f>
        <v>0</v>
      </c>
      <c r="V56" s="26" t="n">
        <f aca="false">IF($C56="","",IFERROR(INDEX(Fournisseurs!$G$5:$G$24,MATCH($C56,Fournisseurs!$A$5:$A$24,0)),""))</f>
        <v>0</v>
      </c>
      <c r="W56" s="18" t="n">
        <f aca="false">IF($C56="","",IFERROR(INDEX(Fournisseurs!$H$5:$H$24,MATCH($C56,Fournisseurs!$A$5:$A$24,0)),""))</f>
        <v>0</v>
      </c>
      <c r="X56" s="18" t="n">
        <f aca="false">IF($C56="","",IFERROR(INDEX(Fournisseurs!$B$5:$B$24,MATCH($C56,Fournisseurs!$A$5:$A$24,0)),""))</f>
        <v>0</v>
      </c>
      <c r="Y56" s="18" t="n">
        <f aca="false">IF($A56="","",IF(AND($A56&lt;&gt;"",$C56&lt;&gt;"",ISNUMBER($I56),ISNUMBER($J56),ISNUMBER($M56)),IF(AND($I56&gt;=1,$J56&gt;0,OR($K56="HT",$K56="TTC"),$M56&gt;=1,IFERROR(INDEX(Fournisseurs!$T$5:$T$24,MATCH($C56,Fournisseurs!$A$5:$A$24,0)),0)=1),1,0),0))</f>
        <v>0</v>
      </c>
      <c r="Z56" s="27" t="str">
        <f aca="false">IF($Y56=1,$J56*(1-N($L56)),"")</f>
        <v/>
      </c>
      <c r="AA56" s="28" t="str">
        <f aca="false">IF($Y56=1,IF($K56="TTC",$Z56/(1+$V56),$Z56),"")</f>
        <v/>
      </c>
      <c r="AB56" s="28" t="str">
        <f aca="false">IF($Y56=1,IF($K56="TTC",$Z56-$AA56,$AA56*$V56),"")</f>
        <v/>
      </c>
      <c r="AC56" s="27" t="str">
        <f aca="false">IF($Y56=1,$AA56*$U56*$M56,"")</f>
        <v/>
      </c>
      <c r="AD56" s="26" t="str">
        <f aca="false">IF($Y56=1,$AC56/SUMIFS($AC$6:$AC$205,$C$6:$C$205,$C56,$Y$6:$Y$205,1),"")</f>
        <v/>
      </c>
      <c r="AE56" s="28" t="str">
        <f aca="false">IF($Y56=1,(INDEX(Fournisseurs!$J$5:$J$24,MATCH($C56,Fournisseurs!$A$5:$A$24,0))+INDEX(Fournisseurs!$K$5:$K$24,MATCH($C56,Fournisseurs!$A$5:$A$24,0)))*$U56*$AD56/($I56*$M56),"")</f>
        <v/>
      </c>
      <c r="AF56" s="28" t="str">
        <f aca="false">IF($Y56=1,INDEX(Fournisseurs!$L$5:$L$24,MATCH($C56,Fournisseurs!$A$5:$A$24,0))*$AD56/($I56*$M56),"")</f>
        <v/>
      </c>
      <c r="AG56" s="28" t="str">
        <f aca="false">IF($Y56=1,$AA56*$U56/$I56,"")</f>
        <v/>
      </c>
      <c r="AH56" s="28" t="str">
        <f aca="false">IF($Y56=1,$AB56*$U56/$I56,"")</f>
        <v/>
      </c>
      <c r="AI56" s="18" t="str">
        <f aca="false">IF($Y56=1,IF(AND(Paramètres!$B$4="EFFECTIVE",$W56="CH",$AB56&gt;0),1,0),"")</f>
        <v/>
      </c>
      <c r="AJ56" s="28" t="str">
        <f aca="false">IF($Y56=1,IF($X56&lt;&gt;"CH",($AG56+$AE56+$AF56)*Paramètres!$B$14,0),"")</f>
        <v/>
      </c>
      <c r="AK56" s="29" t="str">
        <f aca="false">IF($Y56=1,$AG56+IF($AI56=1,0,$AH56)+$AE56+$AF56+IF(Paramètres!$B$4="NOT_REGISTERED",$AJ56,0),"")</f>
        <v/>
      </c>
      <c r="AL56" s="27" t="str">
        <f aca="false">IF($Y56=1,($AK56+Paramètres!$B$7+Paramètres!$B$8+Paramètres!$B$9+Paramètres!$B$10)/((1-Paramètres!$B$11)/(1+Paramètres!$B$5)-Paramètres!$B$6),"")</f>
        <v/>
      </c>
      <c r="AM56" s="26" t="str">
        <f aca="false">IF(AND($Y56=1,ISNUMBER($R56)),IF($R56&gt;0,$AL56/$R56-1,""),"")</f>
        <v/>
      </c>
      <c r="AN56" s="27" t="str">
        <f aca="false">IF(AND($Y56=1,ISNUMBER($R56)),IF($R56&gt;0,$R56/(1+Paramètres!$B$5)-$AK56-($R56*Paramètres!$B$6+Paramètres!$B$7)-Paramètres!$B$8-Paramètres!$B$9-Paramètres!$B$10,""),"")</f>
        <v/>
      </c>
      <c r="AO56" s="26" t="str">
        <f aca="false">IF(ISNUMBER($AN56),$AN56/($R56/(1+Paramètres!$B$5)),"")</f>
        <v/>
      </c>
      <c r="AP56" s="30" t="str">
        <f aca="false">IF($A56="","",IF($Y56&lt;&gt;1,"INCOMPLET",IF(NOT(ISNUMBER($AM56)),"SANS RÉF. MARCHÉ",IF($AM56&lt;=Paramètres!$B$12,"OK",IF(AND($AO56&gt;=Paramètres!$B$15,$AN56&gt;=Paramètres!$B$16),"À REVOIR","NON RENTABLE")))))</f>
        <v>INCOMPLET</v>
      </c>
      <c r="AQ56" s="18" t="str">
        <f aca="false">TRIM(IF(AND($Y56=1,ISNUMBER($N56)),IF($M56&lt;$N56,"MOQ ",""),"")&amp;IF(AND($Y56=1,ISNUMBER($O56)),IF($O56&lt;$I56*$M56,"DISPO ",""),"")&amp;IF($S56="O","FICTIF ","")&amp;IF($Y56=1,IF(AND($K56="TTC",$W56&lt;&gt;"CH"),"TVA-ÉTRANGÈRE ",""),""))</f>
        <v/>
      </c>
      <c r="AR56" s="18" t="str">
        <f aca="false">IF($Y56=1,COUNTIFS($A$6:$A$205,$A56,$AK$6:$AK$205,"&lt;"&amp;$AK56,$Y$6:$Y$205,1)+1,"")</f>
        <v/>
      </c>
      <c r="AS56" s="18" t="str">
        <f aca="false">IF(ISNUMBER($AR56),$A56&amp;"|"&amp;$AR56,"")</f>
        <v/>
      </c>
      <c r="AT56" s="27" t="str">
        <f aca="false">IF($Y56=1,$AK56*$I56*$M56,"")</f>
        <v/>
      </c>
    </row>
    <row r="57" customFormat="false" ht="15" hidden="false" customHeight="false" outlineLevel="0" collapsed="false">
      <c r="A57" s="9" t="s">
        <v>178</v>
      </c>
      <c r="B57" s="9" t="s">
        <v>179</v>
      </c>
      <c r="C57" s="9" t="s">
        <v>80</v>
      </c>
      <c r="D57" s="9"/>
      <c r="E57" s="9"/>
      <c r="F57" s="9"/>
      <c r="G57" s="9" t="s">
        <v>180</v>
      </c>
      <c r="H57" s="9" t="s">
        <v>177</v>
      </c>
      <c r="I57" s="9"/>
      <c r="J57" s="13"/>
      <c r="K57" s="9"/>
      <c r="L57" s="12"/>
      <c r="M57" s="9"/>
      <c r="N57" s="9"/>
      <c r="O57" s="9"/>
      <c r="P57" s="9"/>
      <c r="Q57" s="16"/>
      <c r="R57" s="13"/>
      <c r="S57" s="9" t="s">
        <v>78</v>
      </c>
      <c r="T57" s="18" t="n">
        <f aca="false">IF($C57="","",IFERROR(INDEX(Fournisseurs!$C$5:$C$24,MATCH($C57,Fournisseurs!$A$5:$A$24,0)),""))</f>
        <v>0</v>
      </c>
      <c r="U57" s="25" t="n">
        <f aca="false">IF($C57="","",IFERROR(INDEX(Fournisseurs!$D$5:$D$24,MATCH($C57,Fournisseurs!$A$5:$A$24,0)),""))</f>
        <v>0</v>
      </c>
      <c r="V57" s="26" t="n">
        <f aca="false">IF($C57="","",IFERROR(INDEX(Fournisseurs!$G$5:$G$24,MATCH($C57,Fournisseurs!$A$5:$A$24,0)),""))</f>
        <v>0</v>
      </c>
      <c r="W57" s="18" t="n">
        <f aca="false">IF($C57="","",IFERROR(INDEX(Fournisseurs!$H$5:$H$24,MATCH($C57,Fournisseurs!$A$5:$A$24,0)),""))</f>
        <v>0</v>
      </c>
      <c r="X57" s="18" t="n">
        <f aca="false">IF($C57="","",IFERROR(INDEX(Fournisseurs!$B$5:$B$24,MATCH($C57,Fournisseurs!$A$5:$A$24,0)),""))</f>
        <v>0</v>
      </c>
      <c r="Y57" s="18" t="n">
        <f aca="false">IF($A57="","",IF(AND($A57&lt;&gt;"",$C57&lt;&gt;"",ISNUMBER($I57),ISNUMBER($J57),ISNUMBER($M57)),IF(AND($I57&gt;=1,$J57&gt;0,OR($K57="HT",$K57="TTC"),$M57&gt;=1,IFERROR(INDEX(Fournisseurs!$T$5:$T$24,MATCH($C57,Fournisseurs!$A$5:$A$24,0)),0)=1),1,0),0))</f>
        <v>0</v>
      </c>
      <c r="Z57" s="27" t="str">
        <f aca="false">IF($Y57=1,$J57*(1-N($L57)),"")</f>
        <v/>
      </c>
      <c r="AA57" s="28" t="str">
        <f aca="false">IF($Y57=1,IF($K57="TTC",$Z57/(1+$V57),$Z57),"")</f>
        <v/>
      </c>
      <c r="AB57" s="28" t="str">
        <f aca="false">IF($Y57=1,IF($K57="TTC",$Z57-$AA57,$AA57*$V57),"")</f>
        <v/>
      </c>
      <c r="AC57" s="27" t="str">
        <f aca="false">IF($Y57=1,$AA57*$U57*$M57,"")</f>
        <v/>
      </c>
      <c r="AD57" s="26" t="str">
        <f aca="false">IF($Y57=1,$AC57/SUMIFS($AC$6:$AC$205,$C$6:$C$205,$C57,$Y$6:$Y$205,1),"")</f>
        <v/>
      </c>
      <c r="AE57" s="28" t="str">
        <f aca="false">IF($Y57=1,(INDEX(Fournisseurs!$J$5:$J$24,MATCH($C57,Fournisseurs!$A$5:$A$24,0))+INDEX(Fournisseurs!$K$5:$K$24,MATCH($C57,Fournisseurs!$A$5:$A$24,0)))*$U57*$AD57/($I57*$M57),"")</f>
        <v/>
      </c>
      <c r="AF57" s="28" t="str">
        <f aca="false">IF($Y57=1,INDEX(Fournisseurs!$L$5:$L$24,MATCH($C57,Fournisseurs!$A$5:$A$24,0))*$AD57/($I57*$M57),"")</f>
        <v/>
      </c>
      <c r="AG57" s="28" t="str">
        <f aca="false">IF($Y57=1,$AA57*$U57/$I57,"")</f>
        <v/>
      </c>
      <c r="AH57" s="28" t="str">
        <f aca="false">IF($Y57=1,$AB57*$U57/$I57,"")</f>
        <v/>
      </c>
      <c r="AI57" s="18" t="str">
        <f aca="false">IF($Y57=1,IF(AND(Paramètres!$B$4="EFFECTIVE",$W57="CH",$AB57&gt;0),1,0),"")</f>
        <v/>
      </c>
      <c r="AJ57" s="28" t="str">
        <f aca="false">IF($Y57=1,IF($X57&lt;&gt;"CH",($AG57+$AE57+$AF57)*Paramètres!$B$14,0),"")</f>
        <v/>
      </c>
      <c r="AK57" s="29" t="str">
        <f aca="false">IF($Y57=1,$AG57+IF($AI57=1,0,$AH57)+$AE57+$AF57+IF(Paramètres!$B$4="NOT_REGISTERED",$AJ57,0),"")</f>
        <v/>
      </c>
      <c r="AL57" s="27" t="str">
        <f aca="false">IF($Y57=1,($AK57+Paramètres!$B$7+Paramètres!$B$8+Paramètres!$B$9+Paramètres!$B$10)/((1-Paramètres!$B$11)/(1+Paramètres!$B$5)-Paramètres!$B$6),"")</f>
        <v/>
      </c>
      <c r="AM57" s="26" t="str">
        <f aca="false">IF(AND($Y57=1,ISNUMBER($R57)),IF($R57&gt;0,$AL57/$R57-1,""),"")</f>
        <v/>
      </c>
      <c r="AN57" s="27" t="str">
        <f aca="false">IF(AND($Y57=1,ISNUMBER($R57)),IF($R57&gt;0,$R57/(1+Paramètres!$B$5)-$AK57-($R57*Paramètres!$B$6+Paramètres!$B$7)-Paramètres!$B$8-Paramètres!$B$9-Paramètres!$B$10,""),"")</f>
        <v/>
      </c>
      <c r="AO57" s="26" t="str">
        <f aca="false">IF(ISNUMBER($AN57),$AN57/($R57/(1+Paramètres!$B$5)),"")</f>
        <v/>
      </c>
      <c r="AP57" s="30" t="str">
        <f aca="false">IF($A57="","",IF($Y57&lt;&gt;1,"INCOMPLET",IF(NOT(ISNUMBER($AM57)),"SANS RÉF. MARCHÉ",IF($AM57&lt;=Paramètres!$B$12,"OK",IF(AND($AO57&gt;=Paramètres!$B$15,$AN57&gt;=Paramètres!$B$16),"À REVOIR","NON RENTABLE")))))</f>
        <v>INCOMPLET</v>
      </c>
      <c r="AQ57" s="18" t="str">
        <f aca="false">TRIM(IF(AND($Y57=1,ISNUMBER($N57)),IF($M57&lt;$N57,"MOQ ",""),"")&amp;IF(AND($Y57=1,ISNUMBER($O57)),IF($O57&lt;$I57*$M57,"DISPO ",""),"")&amp;IF($S57="O","FICTIF ","")&amp;IF($Y57=1,IF(AND($K57="TTC",$W57&lt;&gt;"CH"),"TVA-ÉTRANGÈRE ",""),""))</f>
        <v/>
      </c>
      <c r="AR57" s="18" t="str">
        <f aca="false">IF($Y57=1,COUNTIFS($A$6:$A$205,$A57,$AK$6:$AK$205,"&lt;"&amp;$AK57,$Y$6:$Y$205,1)+1,"")</f>
        <v/>
      </c>
      <c r="AS57" s="18" t="str">
        <f aca="false">IF(ISNUMBER($AR57),$A57&amp;"|"&amp;$AR57,"")</f>
        <v/>
      </c>
      <c r="AT57" s="27" t="str">
        <f aca="false">IF($Y57=1,$AK57*$I57*$M57,"")</f>
        <v/>
      </c>
    </row>
    <row r="58" customFormat="false" ht="15" hidden="false" customHeight="false" outlineLevel="0" collapsed="false">
      <c r="A58" s="9" t="s">
        <v>181</v>
      </c>
      <c r="B58" s="9" t="s">
        <v>182</v>
      </c>
      <c r="C58" s="9" t="s">
        <v>80</v>
      </c>
      <c r="D58" s="9"/>
      <c r="E58" s="9"/>
      <c r="F58" s="9"/>
      <c r="G58" s="9"/>
      <c r="H58" s="9" t="s">
        <v>183</v>
      </c>
      <c r="I58" s="9"/>
      <c r="J58" s="13"/>
      <c r="K58" s="9"/>
      <c r="L58" s="12"/>
      <c r="M58" s="9"/>
      <c r="N58" s="9"/>
      <c r="O58" s="9"/>
      <c r="P58" s="9"/>
      <c r="Q58" s="16"/>
      <c r="R58" s="13"/>
      <c r="S58" s="9" t="s">
        <v>78</v>
      </c>
      <c r="T58" s="18" t="n">
        <f aca="false">IF($C58="","",IFERROR(INDEX(Fournisseurs!$C$5:$C$24,MATCH($C58,Fournisseurs!$A$5:$A$24,0)),""))</f>
        <v>0</v>
      </c>
      <c r="U58" s="25" t="n">
        <f aca="false">IF($C58="","",IFERROR(INDEX(Fournisseurs!$D$5:$D$24,MATCH($C58,Fournisseurs!$A$5:$A$24,0)),""))</f>
        <v>0</v>
      </c>
      <c r="V58" s="26" t="n">
        <f aca="false">IF($C58="","",IFERROR(INDEX(Fournisseurs!$G$5:$G$24,MATCH($C58,Fournisseurs!$A$5:$A$24,0)),""))</f>
        <v>0</v>
      </c>
      <c r="W58" s="18" t="n">
        <f aca="false">IF($C58="","",IFERROR(INDEX(Fournisseurs!$H$5:$H$24,MATCH($C58,Fournisseurs!$A$5:$A$24,0)),""))</f>
        <v>0</v>
      </c>
      <c r="X58" s="18" t="n">
        <f aca="false">IF($C58="","",IFERROR(INDEX(Fournisseurs!$B$5:$B$24,MATCH($C58,Fournisseurs!$A$5:$A$24,0)),""))</f>
        <v>0</v>
      </c>
      <c r="Y58" s="18" t="n">
        <f aca="false">IF($A58="","",IF(AND($A58&lt;&gt;"",$C58&lt;&gt;"",ISNUMBER($I58),ISNUMBER($J58),ISNUMBER($M58)),IF(AND($I58&gt;=1,$J58&gt;0,OR($K58="HT",$K58="TTC"),$M58&gt;=1,IFERROR(INDEX(Fournisseurs!$T$5:$T$24,MATCH($C58,Fournisseurs!$A$5:$A$24,0)),0)=1),1,0),0))</f>
        <v>0</v>
      </c>
      <c r="Z58" s="27" t="str">
        <f aca="false">IF($Y58=1,$J58*(1-N($L58)),"")</f>
        <v/>
      </c>
      <c r="AA58" s="28" t="str">
        <f aca="false">IF($Y58=1,IF($K58="TTC",$Z58/(1+$V58),$Z58),"")</f>
        <v/>
      </c>
      <c r="AB58" s="28" t="str">
        <f aca="false">IF($Y58=1,IF($K58="TTC",$Z58-$AA58,$AA58*$V58),"")</f>
        <v/>
      </c>
      <c r="AC58" s="27" t="str">
        <f aca="false">IF($Y58=1,$AA58*$U58*$M58,"")</f>
        <v/>
      </c>
      <c r="AD58" s="26" t="str">
        <f aca="false">IF($Y58=1,$AC58/SUMIFS($AC$6:$AC$205,$C$6:$C$205,$C58,$Y$6:$Y$205,1),"")</f>
        <v/>
      </c>
      <c r="AE58" s="28" t="str">
        <f aca="false">IF($Y58=1,(INDEX(Fournisseurs!$J$5:$J$24,MATCH($C58,Fournisseurs!$A$5:$A$24,0))+INDEX(Fournisseurs!$K$5:$K$24,MATCH($C58,Fournisseurs!$A$5:$A$24,0)))*$U58*$AD58/($I58*$M58),"")</f>
        <v/>
      </c>
      <c r="AF58" s="28" t="str">
        <f aca="false">IF($Y58=1,INDEX(Fournisseurs!$L$5:$L$24,MATCH($C58,Fournisseurs!$A$5:$A$24,0))*$AD58/($I58*$M58),"")</f>
        <v/>
      </c>
      <c r="AG58" s="28" t="str">
        <f aca="false">IF($Y58=1,$AA58*$U58/$I58,"")</f>
        <v/>
      </c>
      <c r="AH58" s="28" t="str">
        <f aca="false">IF($Y58=1,$AB58*$U58/$I58,"")</f>
        <v/>
      </c>
      <c r="AI58" s="18" t="str">
        <f aca="false">IF($Y58=1,IF(AND(Paramètres!$B$4="EFFECTIVE",$W58="CH",$AB58&gt;0),1,0),"")</f>
        <v/>
      </c>
      <c r="AJ58" s="28" t="str">
        <f aca="false">IF($Y58=1,IF($X58&lt;&gt;"CH",($AG58+$AE58+$AF58)*Paramètres!$B$14,0),"")</f>
        <v/>
      </c>
      <c r="AK58" s="29" t="str">
        <f aca="false">IF($Y58=1,$AG58+IF($AI58=1,0,$AH58)+$AE58+$AF58+IF(Paramètres!$B$4="NOT_REGISTERED",$AJ58,0),"")</f>
        <v/>
      </c>
      <c r="AL58" s="27" t="str">
        <f aca="false">IF($Y58=1,($AK58+Paramètres!$B$7+Paramètres!$B$8+Paramètres!$B$9+Paramètres!$B$10)/((1-Paramètres!$B$11)/(1+Paramètres!$B$5)-Paramètres!$B$6),"")</f>
        <v/>
      </c>
      <c r="AM58" s="26" t="str">
        <f aca="false">IF(AND($Y58=1,ISNUMBER($R58)),IF($R58&gt;0,$AL58/$R58-1,""),"")</f>
        <v/>
      </c>
      <c r="AN58" s="27" t="str">
        <f aca="false">IF(AND($Y58=1,ISNUMBER($R58)),IF($R58&gt;0,$R58/(1+Paramètres!$B$5)-$AK58-($R58*Paramètres!$B$6+Paramètres!$B$7)-Paramètres!$B$8-Paramètres!$B$9-Paramètres!$B$10,""),"")</f>
        <v/>
      </c>
      <c r="AO58" s="26" t="str">
        <f aca="false">IF(ISNUMBER($AN58),$AN58/($R58/(1+Paramètres!$B$5)),"")</f>
        <v/>
      </c>
      <c r="AP58" s="30" t="str">
        <f aca="false">IF($A58="","",IF($Y58&lt;&gt;1,"INCOMPLET",IF(NOT(ISNUMBER($AM58)),"SANS RÉF. MARCHÉ",IF($AM58&lt;=Paramètres!$B$12,"OK",IF(AND($AO58&gt;=Paramètres!$B$15,$AN58&gt;=Paramètres!$B$16),"À REVOIR","NON RENTABLE")))))</f>
        <v>INCOMPLET</v>
      </c>
      <c r="AQ58" s="18" t="str">
        <f aca="false">TRIM(IF(AND($Y58=1,ISNUMBER($N58)),IF($M58&lt;$N58,"MOQ ",""),"")&amp;IF(AND($Y58=1,ISNUMBER($O58)),IF($O58&lt;$I58*$M58,"DISPO ",""),"")&amp;IF($S58="O","FICTIF ","")&amp;IF($Y58=1,IF(AND($K58="TTC",$W58&lt;&gt;"CH"),"TVA-ÉTRANGÈRE ",""),""))</f>
        <v/>
      </c>
      <c r="AR58" s="18" t="str">
        <f aca="false">IF($Y58=1,COUNTIFS($A$6:$A$205,$A58,$AK$6:$AK$205,"&lt;"&amp;$AK58,$Y$6:$Y$205,1)+1,"")</f>
        <v/>
      </c>
      <c r="AS58" s="18" t="str">
        <f aca="false">IF(ISNUMBER($AR58),$A58&amp;"|"&amp;$AR58,"")</f>
        <v/>
      </c>
      <c r="AT58" s="27" t="str">
        <f aca="false">IF($Y58=1,$AK58*$I58*$M58,"")</f>
        <v/>
      </c>
    </row>
    <row r="59" customFormat="false" ht="15" hidden="false" customHeight="false" outlineLevel="0" collapsed="false">
      <c r="A59" s="9" t="s">
        <v>184</v>
      </c>
      <c r="B59" s="9" t="s">
        <v>185</v>
      </c>
      <c r="C59" s="9" t="s">
        <v>80</v>
      </c>
      <c r="D59" s="9"/>
      <c r="E59" s="9"/>
      <c r="F59" s="9"/>
      <c r="G59" s="9"/>
      <c r="H59" s="9" t="s">
        <v>183</v>
      </c>
      <c r="I59" s="9"/>
      <c r="J59" s="13"/>
      <c r="K59" s="9"/>
      <c r="L59" s="12"/>
      <c r="M59" s="9"/>
      <c r="N59" s="9"/>
      <c r="O59" s="9"/>
      <c r="P59" s="9"/>
      <c r="Q59" s="16"/>
      <c r="R59" s="13"/>
      <c r="S59" s="9" t="s">
        <v>78</v>
      </c>
      <c r="T59" s="18" t="n">
        <f aca="false">IF($C59="","",IFERROR(INDEX(Fournisseurs!$C$5:$C$24,MATCH($C59,Fournisseurs!$A$5:$A$24,0)),""))</f>
        <v>0</v>
      </c>
      <c r="U59" s="25" t="n">
        <f aca="false">IF($C59="","",IFERROR(INDEX(Fournisseurs!$D$5:$D$24,MATCH($C59,Fournisseurs!$A$5:$A$24,0)),""))</f>
        <v>0</v>
      </c>
      <c r="V59" s="26" t="n">
        <f aca="false">IF($C59="","",IFERROR(INDEX(Fournisseurs!$G$5:$G$24,MATCH($C59,Fournisseurs!$A$5:$A$24,0)),""))</f>
        <v>0</v>
      </c>
      <c r="W59" s="18" t="n">
        <f aca="false">IF($C59="","",IFERROR(INDEX(Fournisseurs!$H$5:$H$24,MATCH($C59,Fournisseurs!$A$5:$A$24,0)),""))</f>
        <v>0</v>
      </c>
      <c r="X59" s="18" t="n">
        <f aca="false">IF($C59="","",IFERROR(INDEX(Fournisseurs!$B$5:$B$24,MATCH($C59,Fournisseurs!$A$5:$A$24,0)),""))</f>
        <v>0</v>
      </c>
      <c r="Y59" s="18" t="n">
        <f aca="false">IF($A59="","",IF(AND($A59&lt;&gt;"",$C59&lt;&gt;"",ISNUMBER($I59),ISNUMBER($J59),ISNUMBER($M59)),IF(AND($I59&gt;=1,$J59&gt;0,OR($K59="HT",$K59="TTC"),$M59&gt;=1,IFERROR(INDEX(Fournisseurs!$T$5:$T$24,MATCH($C59,Fournisseurs!$A$5:$A$24,0)),0)=1),1,0),0))</f>
        <v>0</v>
      </c>
      <c r="Z59" s="27" t="str">
        <f aca="false">IF($Y59=1,$J59*(1-N($L59)),"")</f>
        <v/>
      </c>
      <c r="AA59" s="28" t="str">
        <f aca="false">IF($Y59=1,IF($K59="TTC",$Z59/(1+$V59),$Z59),"")</f>
        <v/>
      </c>
      <c r="AB59" s="28" t="str">
        <f aca="false">IF($Y59=1,IF($K59="TTC",$Z59-$AA59,$AA59*$V59),"")</f>
        <v/>
      </c>
      <c r="AC59" s="27" t="str">
        <f aca="false">IF($Y59=1,$AA59*$U59*$M59,"")</f>
        <v/>
      </c>
      <c r="AD59" s="26" t="str">
        <f aca="false">IF($Y59=1,$AC59/SUMIFS($AC$6:$AC$205,$C$6:$C$205,$C59,$Y$6:$Y$205,1),"")</f>
        <v/>
      </c>
      <c r="AE59" s="28" t="str">
        <f aca="false">IF($Y59=1,(INDEX(Fournisseurs!$J$5:$J$24,MATCH($C59,Fournisseurs!$A$5:$A$24,0))+INDEX(Fournisseurs!$K$5:$K$24,MATCH($C59,Fournisseurs!$A$5:$A$24,0)))*$U59*$AD59/($I59*$M59),"")</f>
        <v/>
      </c>
      <c r="AF59" s="28" t="str">
        <f aca="false">IF($Y59=1,INDEX(Fournisseurs!$L$5:$L$24,MATCH($C59,Fournisseurs!$A$5:$A$24,0))*$AD59/($I59*$M59),"")</f>
        <v/>
      </c>
      <c r="AG59" s="28" t="str">
        <f aca="false">IF($Y59=1,$AA59*$U59/$I59,"")</f>
        <v/>
      </c>
      <c r="AH59" s="28" t="str">
        <f aca="false">IF($Y59=1,$AB59*$U59/$I59,"")</f>
        <v/>
      </c>
      <c r="AI59" s="18" t="str">
        <f aca="false">IF($Y59=1,IF(AND(Paramètres!$B$4="EFFECTIVE",$W59="CH",$AB59&gt;0),1,0),"")</f>
        <v/>
      </c>
      <c r="AJ59" s="28" t="str">
        <f aca="false">IF($Y59=1,IF($X59&lt;&gt;"CH",($AG59+$AE59+$AF59)*Paramètres!$B$14,0),"")</f>
        <v/>
      </c>
      <c r="AK59" s="29" t="str">
        <f aca="false">IF($Y59=1,$AG59+IF($AI59=1,0,$AH59)+$AE59+$AF59+IF(Paramètres!$B$4="NOT_REGISTERED",$AJ59,0),"")</f>
        <v/>
      </c>
      <c r="AL59" s="27" t="str">
        <f aca="false">IF($Y59=1,($AK59+Paramètres!$B$7+Paramètres!$B$8+Paramètres!$B$9+Paramètres!$B$10)/((1-Paramètres!$B$11)/(1+Paramètres!$B$5)-Paramètres!$B$6),"")</f>
        <v/>
      </c>
      <c r="AM59" s="26" t="str">
        <f aca="false">IF(AND($Y59=1,ISNUMBER($R59)),IF($R59&gt;0,$AL59/$R59-1,""),"")</f>
        <v/>
      </c>
      <c r="AN59" s="27" t="str">
        <f aca="false">IF(AND($Y59=1,ISNUMBER($R59)),IF($R59&gt;0,$R59/(1+Paramètres!$B$5)-$AK59-($R59*Paramètres!$B$6+Paramètres!$B$7)-Paramètres!$B$8-Paramètres!$B$9-Paramètres!$B$10,""),"")</f>
        <v/>
      </c>
      <c r="AO59" s="26" t="str">
        <f aca="false">IF(ISNUMBER($AN59),$AN59/($R59/(1+Paramètres!$B$5)),"")</f>
        <v/>
      </c>
      <c r="AP59" s="30" t="str">
        <f aca="false">IF($A59="","",IF($Y59&lt;&gt;1,"INCOMPLET",IF(NOT(ISNUMBER($AM59)),"SANS RÉF. MARCHÉ",IF($AM59&lt;=Paramètres!$B$12,"OK",IF(AND($AO59&gt;=Paramètres!$B$15,$AN59&gt;=Paramètres!$B$16),"À REVOIR","NON RENTABLE")))))</f>
        <v>INCOMPLET</v>
      </c>
      <c r="AQ59" s="18" t="str">
        <f aca="false">TRIM(IF(AND($Y59=1,ISNUMBER($N59)),IF($M59&lt;$N59,"MOQ ",""),"")&amp;IF(AND($Y59=1,ISNUMBER($O59)),IF($O59&lt;$I59*$M59,"DISPO ",""),"")&amp;IF($S59="O","FICTIF ","")&amp;IF($Y59=1,IF(AND($K59="TTC",$W59&lt;&gt;"CH"),"TVA-ÉTRANGÈRE ",""),""))</f>
        <v/>
      </c>
      <c r="AR59" s="18" t="str">
        <f aca="false">IF($Y59=1,COUNTIFS($A$6:$A$205,$A59,$AK$6:$AK$205,"&lt;"&amp;$AK59,$Y$6:$Y$205,1)+1,"")</f>
        <v/>
      </c>
      <c r="AS59" s="18" t="str">
        <f aca="false">IF(ISNUMBER($AR59),$A59&amp;"|"&amp;$AR59,"")</f>
        <v/>
      </c>
      <c r="AT59" s="27" t="str">
        <f aca="false">IF($Y59=1,$AK59*$I59*$M59,"")</f>
        <v/>
      </c>
    </row>
    <row r="60" customFormat="false" ht="15" hidden="false" customHeight="false" outlineLevel="0" collapsed="false">
      <c r="A60" s="9" t="s">
        <v>186</v>
      </c>
      <c r="B60" s="9" t="s">
        <v>187</v>
      </c>
      <c r="C60" s="9" t="s">
        <v>80</v>
      </c>
      <c r="D60" s="9"/>
      <c r="E60" s="9"/>
      <c r="F60" s="9"/>
      <c r="G60" s="9" t="s">
        <v>161</v>
      </c>
      <c r="H60" s="9" t="s">
        <v>177</v>
      </c>
      <c r="I60" s="9"/>
      <c r="J60" s="13"/>
      <c r="K60" s="9"/>
      <c r="L60" s="12"/>
      <c r="M60" s="9"/>
      <c r="N60" s="9"/>
      <c r="O60" s="9"/>
      <c r="P60" s="9"/>
      <c r="Q60" s="16"/>
      <c r="R60" s="13"/>
      <c r="S60" s="9" t="s">
        <v>78</v>
      </c>
      <c r="T60" s="18" t="n">
        <f aca="false">IF($C60="","",IFERROR(INDEX(Fournisseurs!$C$5:$C$24,MATCH($C60,Fournisseurs!$A$5:$A$24,0)),""))</f>
        <v>0</v>
      </c>
      <c r="U60" s="25" t="n">
        <f aca="false">IF($C60="","",IFERROR(INDEX(Fournisseurs!$D$5:$D$24,MATCH($C60,Fournisseurs!$A$5:$A$24,0)),""))</f>
        <v>0</v>
      </c>
      <c r="V60" s="26" t="n">
        <f aca="false">IF($C60="","",IFERROR(INDEX(Fournisseurs!$G$5:$G$24,MATCH($C60,Fournisseurs!$A$5:$A$24,0)),""))</f>
        <v>0</v>
      </c>
      <c r="W60" s="18" t="n">
        <f aca="false">IF($C60="","",IFERROR(INDEX(Fournisseurs!$H$5:$H$24,MATCH($C60,Fournisseurs!$A$5:$A$24,0)),""))</f>
        <v>0</v>
      </c>
      <c r="X60" s="18" t="n">
        <f aca="false">IF($C60="","",IFERROR(INDEX(Fournisseurs!$B$5:$B$24,MATCH($C60,Fournisseurs!$A$5:$A$24,0)),""))</f>
        <v>0</v>
      </c>
      <c r="Y60" s="18" t="n">
        <f aca="false">IF($A60="","",IF(AND($A60&lt;&gt;"",$C60&lt;&gt;"",ISNUMBER($I60),ISNUMBER($J60),ISNUMBER($M60)),IF(AND($I60&gt;=1,$J60&gt;0,OR($K60="HT",$K60="TTC"),$M60&gt;=1,IFERROR(INDEX(Fournisseurs!$T$5:$T$24,MATCH($C60,Fournisseurs!$A$5:$A$24,0)),0)=1),1,0),0))</f>
        <v>0</v>
      </c>
      <c r="Z60" s="27" t="str">
        <f aca="false">IF($Y60=1,$J60*(1-N($L60)),"")</f>
        <v/>
      </c>
      <c r="AA60" s="28" t="str">
        <f aca="false">IF($Y60=1,IF($K60="TTC",$Z60/(1+$V60),$Z60),"")</f>
        <v/>
      </c>
      <c r="AB60" s="28" t="str">
        <f aca="false">IF($Y60=1,IF($K60="TTC",$Z60-$AA60,$AA60*$V60),"")</f>
        <v/>
      </c>
      <c r="AC60" s="27" t="str">
        <f aca="false">IF($Y60=1,$AA60*$U60*$M60,"")</f>
        <v/>
      </c>
      <c r="AD60" s="26" t="str">
        <f aca="false">IF($Y60=1,$AC60/SUMIFS($AC$6:$AC$205,$C$6:$C$205,$C60,$Y$6:$Y$205,1),"")</f>
        <v/>
      </c>
      <c r="AE60" s="28" t="str">
        <f aca="false">IF($Y60=1,(INDEX(Fournisseurs!$J$5:$J$24,MATCH($C60,Fournisseurs!$A$5:$A$24,0))+INDEX(Fournisseurs!$K$5:$K$24,MATCH($C60,Fournisseurs!$A$5:$A$24,0)))*$U60*$AD60/($I60*$M60),"")</f>
        <v/>
      </c>
      <c r="AF60" s="28" t="str">
        <f aca="false">IF($Y60=1,INDEX(Fournisseurs!$L$5:$L$24,MATCH($C60,Fournisseurs!$A$5:$A$24,0))*$AD60/($I60*$M60),"")</f>
        <v/>
      </c>
      <c r="AG60" s="28" t="str">
        <f aca="false">IF($Y60=1,$AA60*$U60/$I60,"")</f>
        <v/>
      </c>
      <c r="AH60" s="28" t="str">
        <f aca="false">IF($Y60=1,$AB60*$U60/$I60,"")</f>
        <v/>
      </c>
      <c r="AI60" s="18" t="str">
        <f aca="false">IF($Y60=1,IF(AND(Paramètres!$B$4="EFFECTIVE",$W60="CH",$AB60&gt;0),1,0),"")</f>
        <v/>
      </c>
      <c r="AJ60" s="28" t="str">
        <f aca="false">IF($Y60=1,IF($X60&lt;&gt;"CH",($AG60+$AE60+$AF60)*Paramètres!$B$14,0),"")</f>
        <v/>
      </c>
      <c r="AK60" s="29" t="str">
        <f aca="false">IF($Y60=1,$AG60+IF($AI60=1,0,$AH60)+$AE60+$AF60+IF(Paramètres!$B$4="NOT_REGISTERED",$AJ60,0),"")</f>
        <v/>
      </c>
      <c r="AL60" s="27" t="str">
        <f aca="false">IF($Y60=1,($AK60+Paramètres!$B$7+Paramètres!$B$8+Paramètres!$B$9+Paramètres!$B$10)/((1-Paramètres!$B$11)/(1+Paramètres!$B$5)-Paramètres!$B$6),"")</f>
        <v/>
      </c>
      <c r="AM60" s="26" t="str">
        <f aca="false">IF(AND($Y60=1,ISNUMBER($R60)),IF($R60&gt;0,$AL60/$R60-1,""),"")</f>
        <v/>
      </c>
      <c r="AN60" s="27" t="str">
        <f aca="false">IF(AND($Y60=1,ISNUMBER($R60)),IF($R60&gt;0,$R60/(1+Paramètres!$B$5)-$AK60-($R60*Paramètres!$B$6+Paramètres!$B$7)-Paramètres!$B$8-Paramètres!$B$9-Paramètres!$B$10,""),"")</f>
        <v/>
      </c>
      <c r="AO60" s="26" t="str">
        <f aca="false">IF(ISNUMBER($AN60),$AN60/($R60/(1+Paramètres!$B$5)),"")</f>
        <v/>
      </c>
      <c r="AP60" s="30" t="str">
        <f aca="false">IF($A60="","",IF($Y60&lt;&gt;1,"INCOMPLET",IF(NOT(ISNUMBER($AM60)),"SANS RÉF. MARCHÉ",IF($AM60&lt;=Paramètres!$B$12,"OK",IF(AND($AO60&gt;=Paramètres!$B$15,$AN60&gt;=Paramètres!$B$16),"À REVOIR","NON RENTABLE")))))</f>
        <v>INCOMPLET</v>
      </c>
      <c r="AQ60" s="18" t="str">
        <f aca="false">TRIM(IF(AND($Y60=1,ISNUMBER($N60)),IF($M60&lt;$N60,"MOQ ",""),"")&amp;IF(AND($Y60=1,ISNUMBER($O60)),IF($O60&lt;$I60*$M60,"DISPO ",""),"")&amp;IF($S60="O","FICTIF ","")&amp;IF($Y60=1,IF(AND($K60="TTC",$W60&lt;&gt;"CH"),"TVA-ÉTRANGÈRE ",""),""))</f>
        <v/>
      </c>
      <c r="AR60" s="18" t="str">
        <f aca="false">IF($Y60=1,COUNTIFS($A$6:$A$205,$A60,$AK$6:$AK$205,"&lt;"&amp;$AK60,$Y$6:$Y$205,1)+1,"")</f>
        <v/>
      </c>
      <c r="AS60" s="18" t="str">
        <f aca="false">IF(ISNUMBER($AR60),$A60&amp;"|"&amp;$AR60,"")</f>
        <v/>
      </c>
      <c r="AT60" s="27" t="str">
        <f aca="false">IF($Y60=1,$AK60*$I60*$M60,"")</f>
        <v/>
      </c>
    </row>
    <row r="61" customFormat="false" ht="15" hidden="false" customHeight="false" outlineLevel="0" collapsed="false">
      <c r="A61" s="9" t="s">
        <v>188</v>
      </c>
      <c r="B61" s="9" t="s">
        <v>189</v>
      </c>
      <c r="C61" s="9" t="s">
        <v>80</v>
      </c>
      <c r="D61" s="9"/>
      <c r="E61" s="9"/>
      <c r="F61" s="9"/>
      <c r="G61" s="9" t="s">
        <v>161</v>
      </c>
      <c r="H61" s="9" t="s">
        <v>177</v>
      </c>
      <c r="I61" s="9"/>
      <c r="J61" s="13"/>
      <c r="K61" s="9"/>
      <c r="L61" s="12"/>
      <c r="M61" s="9"/>
      <c r="N61" s="9"/>
      <c r="O61" s="9"/>
      <c r="P61" s="9"/>
      <c r="Q61" s="16"/>
      <c r="R61" s="13"/>
      <c r="S61" s="9" t="s">
        <v>78</v>
      </c>
      <c r="T61" s="18" t="n">
        <f aca="false">IF($C61="","",IFERROR(INDEX(Fournisseurs!$C$5:$C$24,MATCH($C61,Fournisseurs!$A$5:$A$24,0)),""))</f>
        <v>0</v>
      </c>
      <c r="U61" s="25" t="n">
        <f aca="false">IF($C61="","",IFERROR(INDEX(Fournisseurs!$D$5:$D$24,MATCH($C61,Fournisseurs!$A$5:$A$24,0)),""))</f>
        <v>0</v>
      </c>
      <c r="V61" s="26" t="n">
        <f aca="false">IF($C61="","",IFERROR(INDEX(Fournisseurs!$G$5:$G$24,MATCH($C61,Fournisseurs!$A$5:$A$24,0)),""))</f>
        <v>0</v>
      </c>
      <c r="W61" s="18" t="n">
        <f aca="false">IF($C61="","",IFERROR(INDEX(Fournisseurs!$H$5:$H$24,MATCH($C61,Fournisseurs!$A$5:$A$24,0)),""))</f>
        <v>0</v>
      </c>
      <c r="X61" s="18" t="n">
        <f aca="false">IF($C61="","",IFERROR(INDEX(Fournisseurs!$B$5:$B$24,MATCH($C61,Fournisseurs!$A$5:$A$24,0)),""))</f>
        <v>0</v>
      </c>
      <c r="Y61" s="18" t="n">
        <f aca="false">IF($A61="","",IF(AND($A61&lt;&gt;"",$C61&lt;&gt;"",ISNUMBER($I61),ISNUMBER($J61),ISNUMBER($M61)),IF(AND($I61&gt;=1,$J61&gt;0,OR($K61="HT",$K61="TTC"),$M61&gt;=1,IFERROR(INDEX(Fournisseurs!$T$5:$T$24,MATCH($C61,Fournisseurs!$A$5:$A$24,0)),0)=1),1,0),0))</f>
        <v>0</v>
      </c>
      <c r="Z61" s="27" t="str">
        <f aca="false">IF($Y61=1,$J61*(1-N($L61)),"")</f>
        <v/>
      </c>
      <c r="AA61" s="28" t="str">
        <f aca="false">IF($Y61=1,IF($K61="TTC",$Z61/(1+$V61),$Z61),"")</f>
        <v/>
      </c>
      <c r="AB61" s="28" t="str">
        <f aca="false">IF($Y61=1,IF($K61="TTC",$Z61-$AA61,$AA61*$V61),"")</f>
        <v/>
      </c>
      <c r="AC61" s="27" t="str">
        <f aca="false">IF($Y61=1,$AA61*$U61*$M61,"")</f>
        <v/>
      </c>
      <c r="AD61" s="26" t="str">
        <f aca="false">IF($Y61=1,$AC61/SUMIFS($AC$6:$AC$205,$C$6:$C$205,$C61,$Y$6:$Y$205,1),"")</f>
        <v/>
      </c>
      <c r="AE61" s="28" t="str">
        <f aca="false">IF($Y61=1,(INDEX(Fournisseurs!$J$5:$J$24,MATCH($C61,Fournisseurs!$A$5:$A$24,0))+INDEX(Fournisseurs!$K$5:$K$24,MATCH($C61,Fournisseurs!$A$5:$A$24,0)))*$U61*$AD61/($I61*$M61),"")</f>
        <v/>
      </c>
      <c r="AF61" s="28" t="str">
        <f aca="false">IF($Y61=1,INDEX(Fournisseurs!$L$5:$L$24,MATCH($C61,Fournisseurs!$A$5:$A$24,0))*$AD61/($I61*$M61),"")</f>
        <v/>
      </c>
      <c r="AG61" s="28" t="str">
        <f aca="false">IF($Y61=1,$AA61*$U61/$I61,"")</f>
        <v/>
      </c>
      <c r="AH61" s="28" t="str">
        <f aca="false">IF($Y61=1,$AB61*$U61/$I61,"")</f>
        <v/>
      </c>
      <c r="AI61" s="18" t="str">
        <f aca="false">IF($Y61=1,IF(AND(Paramètres!$B$4="EFFECTIVE",$W61="CH",$AB61&gt;0),1,0),"")</f>
        <v/>
      </c>
      <c r="AJ61" s="28" t="str">
        <f aca="false">IF($Y61=1,IF($X61&lt;&gt;"CH",($AG61+$AE61+$AF61)*Paramètres!$B$14,0),"")</f>
        <v/>
      </c>
      <c r="AK61" s="29" t="str">
        <f aca="false">IF($Y61=1,$AG61+IF($AI61=1,0,$AH61)+$AE61+$AF61+IF(Paramètres!$B$4="NOT_REGISTERED",$AJ61,0),"")</f>
        <v/>
      </c>
      <c r="AL61" s="27" t="str">
        <f aca="false">IF($Y61=1,($AK61+Paramètres!$B$7+Paramètres!$B$8+Paramètres!$B$9+Paramètres!$B$10)/((1-Paramètres!$B$11)/(1+Paramètres!$B$5)-Paramètres!$B$6),"")</f>
        <v/>
      </c>
      <c r="AM61" s="26" t="str">
        <f aca="false">IF(AND($Y61=1,ISNUMBER($R61)),IF($R61&gt;0,$AL61/$R61-1,""),"")</f>
        <v/>
      </c>
      <c r="AN61" s="27" t="str">
        <f aca="false">IF(AND($Y61=1,ISNUMBER($R61)),IF($R61&gt;0,$R61/(1+Paramètres!$B$5)-$AK61-($R61*Paramètres!$B$6+Paramètres!$B$7)-Paramètres!$B$8-Paramètres!$B$9-Paramètres!$B$10,""),"")</f>
        <v/>
      </c>
      <c r="AO61" s="26" t="str">
        <f aca="false">IF(ISNUMBER($AN61),$AN61/($R61/(1+Paramètres!$B$5)),"")</f>
        <v/>
      </c>
      <c r="AP61" s="30" t="str">
        <f aca="false">IF($A61="","",IF($Y61&lt;&gt;1,"INCOMPLET",IF(NOT(ISNUMBER($AM61)),"SANS RÉF. MARCHÉ",IF($AM61&lt;=Paramètres!$B$12,"OK",IF(AND($AO61&gt;=Paramètres!$B$15,$AN61&gt;=Paramètres!$B$16),"À REVOIR","NON RENTABLE")))))</f>
        <v>INCOMPLET</v>
      </c>
      <c r="AQ61" s="18" t="str">
        <f aca="false">TRIM(IF(AND($Y61=1,ISNUMBER($N61)),IF($M61&lt;$N61,"MOQ ",""),"")&amp;IF(AND($Y61=1,ISNUMBER($O61)),IF($O61&lt;$I61*$M61,"DISPO ",""),"")&amp;IF($S61="O","FICTIF ","")&amp;IF($Y61=1,IF(AND($K61="TTC",$W61&lt;&gt;"CH"),"TVA-ÉTRANGÈRE ",""),""))</f>
        <v/>
      </c>
      <c r="AR61" s="18" t="str">
        <f aca="false">IF($Y61=1,COUNTIFS($A$6:$A$205,$A61,$AK$6:$AK$205,"&lt;"&amp;$AK61,$Y$6:$Y$205,1)+1,"")</f>
        <v/>
      </c>
      <c r="AS61" s="18" t="str">
        <f aca="false">IF(ISNUMBER($AR61),$A61&amp;"|"&amp;$AR61,"")</f>
        <v/>
      </c>
      <c r="AT61" s="27" t="str">
        <f aca="false">IF($Y61=1,$AK61*$I61*$M61,"")</f>
        <v/>
      </c>
    </row>
    <row r="62" customFormat="false" ht="15" hidden="false" customHeight="false" outlineLevel="0" collapsed="false">
      <c r="A62" s="9" t="s">
        <v>190</v>
      </c>
      <c r="B62" s="9" t="s">
        <v>191</v>
      </c>
      <c r="C62" s="9" t="s">
        <v>80</v>
      </c>
      <c r="D62" s="9"/>
      <c r="E62" s="9"/>
      <c r="F62" s="9"/>
      <c r="G62" s="9" t="s">
        <v>158</v>
      </c>
      <c r="H62" s="9" t="s">
        <v>148</v>
      </c>
      <c r="I62" s="9"/>
      <c r="J62" s="13"/>
      <c r="K62" s="9"/>
      <c r="L62" s="12"/>
      <c r="M62" s="9"/>
      <c r="N62" s="9"/>
      <c r="O62" s="9"/>
      <c r="P62" s="9"/>
      <c r="Q62" s="16"/>
      <c r="R62" s="13"/>
      <c r="S62" s="9" t="s">
        <v>78</v>
      </c>
      <c r="T62" s="18" t="n">
        <f aca="false">IF($C62="","",IFERROR(INDEX(Fournisseurs!$C$5:$C$24,MATCH($C62,Fournisseurs!$A$5:$A$24,0)),""))</f>
        <v>0</v>
      </c>
      <c r="U62" s="25" t="n">
        <f aca="false">IF($C62="","",IFERROR(INDEX(Fournisseurs!$D$5:$D$24,MATCH($C62,Fournisseurs!$A$5:$A$24,0)),""))</f>
        <v>0</v>
      </c>
      <c r="V62" s="26" t="n">
        <f aca="false">IF($C62="","",IFERROR(INDEX(Fournisseurs!$G$5:$G$24,MATCH($C62,Fournisseurs!$A$5:$A$24,0)),""))</f>
        <v>0</v>
      </c>
      <c r="W62" s="18" t="n">
        <f aca="false">IF($C62="","",IFERROR(INDEX(Fournisseurs!$H$5:$H$24,MATCH($C62,Fournisseurs!$A$5:$A$24,0)),""))</f>
        <v>0</v>
      </c>
      <c r="X62" s="18" t="n">
        <f aca="false">IF($C62="","",IFERROR(INDEX(Fournisseurs!$B$5:$B$24,MATCH($C62,Fournisseurs!$A$5:$A$24,0)),""))</f>
        <v>0</v>
      </c>
      <c r="Y62" s="18" t="n">
        <f aca="false">IF($A62="","",IF(AND($A62&lt;&gt;"",$C62&lt;&gt;"",ISNUMBER($I62),ISNUMBER($J62),ISNUMBER($M62)),IF(AND($I62&gt;=1,$J62&gt;0,OR($K62="HT",$K62="TTC"),$M62&gt;=1,IFERROR(INDEX(Fournisseurs!$T$5:$T$24,MATCH($C62,Fournisseurs!$A$5:$A$24,0)),0)=1),1,0),0))</f>
        <v>0</v>
      </c>
      <c r="Z62" s="27" t="str">
        <f aca="false">IF($Y62=1,$J62*(1-N($L62)),"")</f>
        <v/>
      </c>
      <c r="AA62" s="28" t="str">
        <f aca="false">IF($Y62=1,IF($K62="TTC",$Z62/(1+$V62),$Z62),"")</f>
        <v/>
      </c>
      <c r="AB62" s="28" t="str">
        <f aca="false">IF($Y62=1,IF($K62="TTC",$Z62-$AA62,$AA62*$V62),"")</f>
        <v/>
      </c>
      <c r="AC62" s="27" t="str">
        <f aca="false">IF($Y62=1,$AA62*$U62*$M62,"")</f>
        <v/>
      </c>
      <c r="AD62" s="26" t="str">
        <f aca="false">IF($Y62=1,$AC62/SUMIFS($AC$6:$AC$205,$C$6:$C$205,$C62,$Y$6:$Y$205,1),"")</f>
        <v/>
      </c>
      <c r="AE62" s="28" t="str">
        <f aca="false">IF($Y62=1,(INDEX(Fournisseurs!$J$5:$J$24,MATCH($C62,Fournisseurs!$A$5:$A$24,0))+INDEX(Fournisseurs!$K$5:$K$24,MATCH($C62,Fournisseurs!$A$5:$A$24,0)))*$U62*$AD62/($I62*$M62),"")</f>
        <v/>
      </c>
      <c r="AF62" s="28" t="str">
        <f aca="false">IF($Y62=1,INDEX(Fournisseurs!$L$5:$L$24,MATCH($C62,Fournisseurs!$A$5:$A$24,0))*$AD62/($I62*$M62),"")</f>
        <v/>
      </c>
      <c r="AG62" s="28" t="str">
        <f aca="false">IF($Y62=1,$AA62*$U62/$I62,"")</f>
        <v/>
      </c>
      <c r="AH62" s="28" t="str">
        <f aca="false">IF($Y62=1,$AB62*$U62/$I62,"")</f>
        <v/>
      </c>
      <c r="AI62" s="18" t="str">
        <f aca="false">IF($Y62=1,IF(AND(Paramètres!$B$4="EFFECTIVE",$W62="CH",$AB62&gt;0),1,0),"")</f>
        <v/>
      </c>
      <c r="AJ62" s="28" t="str">
        <f aca="false">IF($Y62=1,IF($X62&lt;&gt;"CH",($AG62+$AE62+$AF62)*Paramètres!$B$14,0),"")</f>
        <v/>
      </c>
      <c r="AK62" s="29" t="str">
        <f aca="false">IF($Y62=1,$AG62+IF($AI62=1,0,$AH62)+$AE62+$AF62+IF(Paramètres!$B$4="NOT_REGISTERED",$AJ62,0),"")</f>
        <v/>
      </c>
      <c r="AL62" s="27" t="str">
        <f aca="false">IF($Y62=1,($AK62+Paramètres!$B$7+Paramètres!$B$8+Paramètres!$B$9+Paramètres!$B$10)/((1-Paramètres!$B$11)/(1+Paramètres!$B$5)-Paramètres!$B$6),"")</f>
        <v/>
      </c>
      <c r="AM62" s="26" t="str">
        <f aca="false">IF(AND($Y62=1,ISNUMBER($R62)),IF($R62&gt;0,$AL62/$R62-1,""),"")</f>
        <v/>
      </c>
      <c r="AN62" s="27" t="str">
        <f aca="false">IF(AND($Y62=1,ISNUMBER($R62)),IF($R62&gt;0,$R62/(1+Paramètres!$B$5)-$AK62-($R62*Paramètres!$B$6+Paramètres!$B$7)-Paramètres!$B$8-Paramètres!$B$9-Paramètres!$B$10,""),"")</f>
        <v/>
      </c>
      <c r="AO62" s="26" t="str">
        <f aca="false">IF(ISNUMBER($AN62),$AN62/($R62/(1+Paramètres!$B$5)),"")</f>
        <v/>
      </c>
      <c r="AP62" s="30" t="str">
        <f aca="false">IF($A62="","",IF($Y62&lt;&gt;1,"INCOMPLET",IF(NOT(ISNUMBER($AM62)),"SANS RÉF. MARCHÉ",IF($AM62&lt;=Paramètres!$B$12,"OK",IF(AND($AO62&gt;=Paramètres!$B$15,$AN62&gt;=Paramètres!$B$16),"À REVOIR","NON RENTABLE")))))</f>
        <v>INCOMPLET</v>
      </c>
      <c r="AQ62" s="18" t="str">
        <f aca="false">TRIM(IF(AND($Y62=1,ISNUMBER($N62)),IF($M62&lt;$N62,"MOQ ",""),"")&amp;IF(AND($Y62=1,ISNUMBER($O62)),IF($O62&lt;$I62*$M62,"DISPO ",""),"")&amp;IF($S62="O","FICTIF ","")&amp;IF($Y62=1,IF(AND($K62="TTC",$W62&lt;&gt;"CH"),"TVA-ÉTRANGÈRE ",""),""))</f>
        <v/>
      </c>
      <c r="AR62" s="18" t="str">
        <f aca="false">IF($Y62=1,COUNTIFS($A$6:$A$205,$A62,$AK$6:$AK$205,"&lt;"&amp;$AK62,$Y$6:$Y$205,1)+1,"")</f>
        <v/>
      </c>
      <c r="AS62" s="18" t="str">
        <f aca="false">IF(ISNUMBER($AR62),$A62&amp;"|"&amp;$AR62,"")</f>
        <v/>
      </c>
      <c r="AT62" s="27" t="str">
        <f aca="false">IF($Y62=1,$AK62*$I62*$M62,"")</f>
        <v/>
      </c>
    </row>
    <row r="63" customFormat="false" ht="15" hidden="false" customHeight="false" outlineLevel="0" collapsed="false">
      <c r="A63" s="9" t="s">
        <v>192</v>
      </c>
      <c r="B63" s="9" t="s">
        <v>193</v>
      </c>
      <c r="C63" s="9" t="s">
        <v>80</v>
      </c>
      <c r="D63" s="9"/>
      <c r="E63" s="9"/>
      <c r="F63" s="9"/>
      <c r="G63" s="9" t="s">
        <v>194</v>
      </c>
      <c r="H63" s="9" t="s">
        <v>148</v>
      </c>
      <c r="I63" s="9"/>
      <c r="J63" s="13"/>
      <c r="K63" s="9"/>
      <c r="L63" s="12"/>
      <c r="M63" s="9"/>
      <c r="N63" s="9"/>
      <c r="O63" s="9"/>
      <c r="P63" s="9"/>
      <c r="Q63" s="16"/>
      <c r="R63" s="13"/>
      <c r="S63" s="9" t="s">
        <v>78</v>
      </c>
      <c r="T63" s="18" t="n">
        <f aca="false">IF($C63="","",IFERROR(INDEX(Fournisseurs!$C$5:$C$24,MATCH($C63,Fournisseurs!$A$5:$A$24,0)),""))</f>
        <v>0</v>
      </c>
      <c r="U63" s="25" t="n">
        <f aca="false">IF($C63="","",IFERROR(INDEX(Fournisseurs!$D$5:$D$24,MATCH($C63,Fournisseurs!$A$5:$A$24,0)),""))</f>
        <v>0</v>
      </c>
      <c r="V63" s="26" t="n">
        <f aca="false">IF($C63="","",IFERROR(INDEX(Fournisseurs!$G$5:$G$24,MATCH($C63,Fournisseurs!$A$5:$A$24,0)),""))</f>
        <v>0</v>
      </c>
      <c r="W63" s="18" t="n">
        <f aca="false">IF($C63="","",IFERROR(INDEX(Fournisseurs!$H$5:$H$24,MATCH($C63,Fournisseurs!$A$5:$A$24,0)),""))</f>
        <v>0</v>
      </c>
      <c r="X63" s="18" t="n">
        <f aca="false">IF($C63="","",IFERROR(INDEX(Fournisseurs!$B$5:$B$24,MATCH($C63,Fournisseurs!$A$5:$A$24,0)),""))</f>
        <v>0</v>
      </c>
      <c r="Y63" s="18" t="n">
        <f aca="false">IF($A63="","",IF(AND($A63&lt;&gt;"",$C63&lt;&gt;"",ISNUMBER($I63),ISNUMBER($J63),ISNUMBER($M63)),IF(AND($I63&gt;=1,$J63&gt;0,OR($K63="HT",$K63="TTC"),$M63&gt;=1,IFERROR(INDEX(Fournisseurs!$T$5:$T$24,MATCH($C63,Fournisseurs!$A$5:$A$24,0)),0)=1),1,0),0))</f>
        <v>0</v>
      </c>
      <c r="Z63" s="27" t="str">
        <f aca="false">IF($Y63=1,$J63*(1-N($L63)),"")</f>
        <v/>
      </c>
      <c r="AA63" s="28" t="str">
        <f aca="false">IF($Y63=1,IF($K63="TTC",$Z63/(1+$V63),$Z63),"")</f>
        <v/>
      </c>
      <c r="AB63" s="28" t="str">
        <f aca="false">IF($Y63=1,IF($K63="TTC",$Z63-$AA63,$AA63*$V63),"")</f>
        <v/>
      </c>
      <c r="AC63" s="27" t="str">
        <f aca="false">IF($Y63=1,$AA63*$U63*$M63,"")</f>
        <v/>
      </c>
      <c r="AD63" s="26" t="str">
        <f aca="false">IF($Y63=1,$AC63/SUMIFS($AC$6:$AC$205,$C$6:$C$205,$C63,$Y$6:$Y$205,1),"")</f>
        <v/>
      </c>
      <c r="AE63" s="28" t="str">
        <f aca="false">IF($Y63=1,(INDEX(Fournisseurs!$J$5:$J$24,MATCH($C63,Fournisseurs!$A$5:$A$24,0))+INDEX(Fournisseurs!$K$5:$K$24,MATCH($C63,Fournisseurs!$A$5:$A$24,0)))*$U63*$AD63/($I63*$M63),"")</f>
        <v/>
      </c>
      <c r="AF63" s="28" t="str">
        <f aca="false">IF($Y63=1,INDEX(Fournisseurs!$L$5:$L$24,MATCH($C63,Fournisseurs!$A$5:$A$24,0))*$AD63/($I63*$M63),"")</f>
        <v/>
      </c>
      <c r="AG63" s="28" t="str">
        <f aca="false">IF($Y63=1,$AA63*$U63/$I63,"")</f>
        <v/>
      </c>
      <c r="AH63" s="28" t="str">
        <f aca="false">IF($Y63=1,$AB63*$U63/$I63,"")</f>
        <v/>
      </c>
      <c r="AI63" s="18" t="str">
        <f aca="false">IF($Y63=1,IF(AND(Paramètres!$B$4="EFFECTIVE",$W63="CH",$AB63&gt;0),1,0),"")</f>
        <v/>
      </c>
      <c r="AJ63" s="28" t="str">
        <f aca="false">IF($Y63=1,IF($X63&lt;&gt;"CH",($AG63+$AE63+$AF63)*Paramètres!$B$14,0),"")</f>
        <v/>
      </c>
      <c r="AK63" s="29" t="str">
        <f aca="false">IF($Y63=1,$AG63+IF($AI63=1,0,$AH63)+$AE63+$AF63+IF(Paramètres!$B$4="NOT_REGISTERED",$AJ63,0),"")</f>
        <v/>
      </c>
      <c r="AL63" s="27" t="str">
        <f aca="false">IF($Y63=1,($AK63+Paramètres!$B$7+Paramètres!$B$8+Paramètres!$B$9+Paramètres!$B$10)/((1-Paramètres!$B$11)/(1+Paramètres!$B$5)-Paramètres!$B$6),"")</f>
        <v/>
      </c>
      <c r="AM63" s="26" t="str">
        <f aca="false">IF(AND($Y63=1,ISNUMBER($R63)),IF($R63&gt;0,$AL63/$R63-1,""),"")</f>
        <v/>
      </c>
      <c r="AN63" s="27" t="str">
        <f aca="false">IF(AND($Y63=1,ISNUMBER($R63)),IF($R63&gt;0,$R63/(1+Paramètres!$B$5)-$AK63-($R63*Paramètres!$B$6+Paramètres!$B$7)-Paramètres!$B$8-Paramètres!$B$9-Paramètres!$B$10,""),"")</f>
        <v/>
      </c>
      <c r="AO63" s="26" t="str">
        <f aca="false">IF(ISNUMBER($AN63),$AN63/($R63/(1+Paramètres!$B$5)),"")</f>
        <v/>
      </c>
      <c r="AP63" s="30" t="str">
        <f aca="false">IF($A63="","",IF($Y63&lt;&gt;1,"INCOMPLET",IF(NOT(ISNUMBER($AM63)),"SANS RÉF. MARCHÉ",IF($AM63&lt;=Paramètres!$B$12,"OK",IF(AND($AO63&gt;=Paramètres!$B$15,$AN63&gt;=Paramètres!$B$16),"À REVOIR","NON RENTABLE")))))</f>
        <v>INCOMPLET</v>
      </c>
      <c r="AQ63" s="18" t="str">
        <f aca="false">TRIM(IF(AND($Y63=1,ISNUMBER($N63)),IF($M63&lt;$N63,"MOQ ",""),"")&amp;IF(AND($Y63=1,ISNUMBER($O63)),IF($O63&lt;$I63*$M63,"DISPO ",""),"")&amp;IF($S63="O","FICTIF ","")&amp;IF($Y63=1,IF(AND($K63="TTC",$W63&lt;&gt;"CH"),"TVA-ÉTRANGÈRE ",""),""))</f>
        <v/>
      </c>
      <c r="AR63" s="18" t="str">
        <f aca="false">IF($Y63=1,COUNTIFS($A$6:$A$205,$A63,$AK$6:$AK$205,"&lt;"&amp;$AK63,$Y$6:$Y$205,1)+1,"")</f>
        <v/>
      </c>
      <c r="AS63" s="18" t="str">
        <f aca="false">IF(ISNUMBER($AR63),$A63&amp;"|"&amp;$AR63,"")</f>
        <v/>
      </c>
      <c r="AT63" s="27" t="str">
        <f aca="false">IF($Y63=1,$AK63*$I63*$M63,"")</f>
        <v/>
      </c>
    </row>
    <row r="64" customFormat="false" ht="15" hidden="false" customHeight="false" outlineLevel="0" collapsed="false">
      <c r="A64" s="9" t="s">
        <v>195</v>
      </c>
      <c r="B64" s="9" t="s">
        <v>196</v>
      </c>
      <c r="C64" s="9" t="s">
        <v>80</v>
      </c>
      <c r="D64" s="9"/>
      <c r="E64" s="9"/>
      <c r="F64" s="9"/>
      <c r="G64" s="9" t="s">
        <v>197</v>
      </c>
      <c r="H64" s="9" t="s">
        <v>155</v>
      </c>
      <c r="I64" s="9"/>
      <c r="J64" s="13"/>
      <c r="K64" s="9"/>
      <c r="L64" s="12"/>
      <c r="M64" s="9"/>
      <c r="N64" s="9"/>
      <c r="O64" s="9"/>
      <c r="P64" s="9"/>
      <c r="Q64" s="16"/>
      <c r="R64" s="13"/>
      <c r="S64" s="9" t="s">
        <v>78</v>
      </c>
      <c r="T64" s="18" t="n">
        <f aca="false">IF($C64="","",IFERROR(INDEX(Fournisseurs!$C$5:$C$24,MATCH($C64,Fournisseurs!$A$5:$A$24,0)),""))</f>
        <v>0</v>
      </c>
      <c r="U64" s="25" t="n">
        <f aca="false">IF($C64="","",IFERROR(INDEX(Fournisseurs!$D$5:$D$24,MATCH($C64,Fournisseurs!$A$5:$A$24,0)),""))</f>
        <v>0</v>
      </c>
      <c r="V64" s="26" t="n">
        <f aca="false">IF($C64="","",IFERROR(INDEX(Fournisseurs!$G$5:$G$24,MATCH($C64,Fournisseurs!$A$5:$A$24,0)),""))</f>
        <v>0</v>
      </c>
      <c r="W64" s="18" t="n">
        <f aca="false">IF($C64="","",IFERROR(INDEX(Fournisseurs!$H$5:$H$24,MATCH($C64,Fournisseurs!$A$5:$A$24,0)),""))</f>
        <v>0</v>
      </c>
      <c r="X64" s="18" t="n">
        <f aca="false">IF($C64="","",IFERROR(INDEX(Fournisseurs!$B$5:$B$24,MATCH($C64,Fournisseurs!$A$5:$A$24,0)),""))</f>
        <v>0</v>
      </c>
      <c r="Y64" s="18" t="n">
        <f aca="false">IF($A64="","",IF(AND($A64&lt;&gt;"",$C64&lt;&gt;"",ISNUMBER($I64),ISNUMBER($J64),ISNUMBER($M64)),IF(AND($I64&gt;=1,$J64&gt;0,OR($K64="HT",$K64="TTC"),$M64&gt;=1,IFERROR(INDEX(Fournisseurs!$T$5:$T$24,MATCH($C64,Fournisseurs!$A$5:$A$24,0)),0)=1),1,0),0))</f>
        <v>0</v>
      </c>
      <c r="Z64" s="27" t="str">
        <f aca="false">IF($Y64=1,$J64*(1-N($L64)),"")</f>
        <v/>
      </c>
      <c r="AA64" s="28" t="str">
        <f aca="false">IF($Y64=1,IF($K64="TTC",$Z64/(1+$V64),$Z64),"")</f>
        <v/>
      </c>
      <c r="AB64" s="28" t="str">
        <f aca="false">IF($Y64=1,IF($K64="TTC",$Z64-$AA64,$AA64*$V64),"")</f>
        <v/>
      </c>
      <c r="AC64" s="27" t="str">
        <f aca="false">IF($Y64=1,$AA64*$U64*$M64,"")</f>
        <v/>
      </c>
      <c r="AD64" s="26" t="str">
        <f aca="false">IF($Y64=1,$AC64/SUMIFS($AC$6:$AC$205,$C$6:$C$205,$C64,$Y$6:$Y$205,1),"")</f>
        <v/>
      </c>
      <c r="AE64" s="28" t="str">
        <f aca="false">IF($Y64=1,(INDEX(Fournisseurs!$J$5:$J$24,MATCH($C64,Fournisseurs!$A$5:$A$24,0))+INDEX(Fournisseurs!$K$5:$K$24,MATCH($C64,Fournisseurs!$A$5:$A$24,0)))*$U64*$AD64/($I64*$M64),"")</f>
        <v/>
      </c>
      <c r="AF64" s="28" t="str">
        <f aca="false">IF($Y64=1,INDEX(Fournisseurs!$L$5:$L$24,MATCH($C64,Fournisseurs!$A$5:$A$24,0))*$AD64/($I64*$M64),"")</f>
        <v/>
      </c>
      <c r="AG64" s="28" t="str">
        <f aca="false">IF($Y64=1,$AA64*$U64/$I64,"")</f>
        <v/>
      </c>
      <c r="AH64" s="28" t="str">
        <f aca="false">IF($Y64=1,$AB64*$U64/$I64,"")</f>
        <v/>
      </c>
      <c r="AI64" s="18" t="str">
        <f aca="false">IF($Y64=1,IF(AND(Paramètres!$B$4="EFFECTIVE",$W64="CH",$AB64&gt;0),1,0),"")</f>
        <v/>
      </c>
      <c r="AJ64" s="28" t="str">
        <f aca="false">IF($Y64=1,IF($X64&lt;&gt;"CH",($AG64+$AE64+$AF64)*Paramètres!$B$14,0),"")</f>
        <v/>
      </c>
      <c r="AK64" s="29" t="str">
        <f aca="false">IF($Y64=1,$AG64+IF($AI64=1,0,$AH64)+$AE64+$AF64+IF(Paramètres!$B$4="NOT_REGISTERED",$AJ64,0),"")</f>
        <v/>
      </c>
      <c r="AL64" s="27" t="str">
        <f aca="false">IF($Y64=1,($AK64+Paramètres!$B$7+Paramètres!$B$8+Paramètres!$B$9+Paramètres!$B$10)/((1-Paramètres!$B$11)/(1+Paramètres!$B$5)-Paramètres!$B$6),"")</f>
        <v/>
      </c>
      <c r="AM64" s="26" t="str">
        <f aca="false">IF(AND($Y64=1,ISNUMBER($R64)),IF($R64&gt;0,$AL64/$R64-1,""),"")</f>
        <v/>
      </c>
      <c r="AN64" s="27" t="str">
        <f aca="false">IF(AND($Y64=1,ISNUMBER($R64)),IF($R64&gt;0,$R64/(1+Paramètres!$B$5)-$AK64-($R64*Paramètres!$B$6+Paramètres!$B$7)-Paramètres!$B$8-Paramètres!$B$9-Paramètres!$B$10,""),"")</f>
        <v/>
      </c>
      <c r="AO64" s="26" t="str">
        <f aca="false">IF(ISNUMBER($AN64),$AN64/($R64/(1+Paramètres!$B$5)),"")</f>
        <v/>
      </c>
      <c r="AP64" s="30" t="str">
        <f aca="false">IF($A64="","",IF($Y64&lt;&gt;1,"INCOMPLET",IF(NOT(ISNUMBER($AM64)),"SANS RÉF. MARCHÉ",IF($AM64&lt;=Paramètres!$B$12,"OK",IF(AND($AO64&gt;=Paramètres!$B$15,$AN64&gt;=Paramètres!$B$16),"À REVOIR","NON RENTABLE")))))</f>
        <v>INCOMPLET</v>
      </c>
      <c r="AQ64" s="18" t="str">
        <f aca="false">TRIM(IF(AND($Y64=1,ISNUMBER($N64)),IF($M64&lt;$N64,"MOQ ",""),"")&amp;IF(AND($Y64=1,ISNUMBER($O64)),IF($O64&lt;$I64*$M64,"DISPO ",""),"")&amp;IF($S64="O","FICTIF ","")&amp;IF($Y64=1,IF(AND($K64="TTC",$W64&lt;&gt;"CH"),"TVA-ÉTRANGÈRE ",""),""))</f>
        <v/>
      </c>
      <c r="AR64" s="18" t="str">
        <f aca="false">IF($Y64=1,COUNTIFS($A$6:$A$205,$A64,$AK$6:$AK$205,"&lt;"&amp;$AK64,$Y$6:$Y$205,1)+1,"")</f>
        <v/>
      </c>
      <c r="AS64" s="18" t="str">
        <f aca="false">IF(ISNUMBER($AR64),$A64&amp;"|"&amp;$AR64,"")</f>
        <v/>
      </c>
      <c r="AT64" s="27" t="str">
        <f aca="false">IF($Y64=1,$AK64*$I64*$M64,"")</f>
        <v/>
      </c>
    </row>
    <row r="65" customFormat="false" ht="15" hidden="false" customHeight="false" outlineLevel="0" collapsed="false">
      <c r="A65" s="9" t="s">
        <v>198</v>
      </c>
      <c r="B65" s="9" t="s">
        <v>199</v>
      </c>
      <c r="C65" s="9" t="s">
        <v>80</v>
      </c>
      <c r="D65" s="9"/>
      <c r="E65" s="9"/>
      <c r="F65" s="9"/>
      <c r="G65" s="9" t="s">
        <v>197</v>
      </c>
      <c r="H65" s="9" t="s">
        <v>148</v>
      </c>
      <c r="I65" s="9"/>
      <c r="J65" s="13"/>
      <c r="K65" s="9"/>
      <c r="L65" s="12"/>
      <c r="M65" s="9"/>
      <c r="N65" s="9"/>
      <c r="O65" s="9"/>
      <c r="P65" s="9"/>
      <c r="Q65" s="16"/>
      <c r="R65" s="13"/>
      <c r="S65" s="9" t="s">
        <v>78</v>
      </c>
      <c r="T65" s="18" t="n">
        <f aca="false">IF($C65="","",IFERROR(INDEX(Fournisseurs!$C$5:$C$24,MATCH($C65,Fournisseurs!$A$5:$A$24,0)),""))</f>
        <v>0</v>
      </c>
      <c r="U65" s="25" t="n">
        <f aca="false">IF($C65="","",IFERROR(INDEX(Fournisseurs!$D$5:$D$24,MATCH($C65,Fournisseurs!$A$5:$A$24,0)),""))</f>
        <v>0</v>
      </c>
      <c r="V65" s="26" t="n">
        <f aca="false">IF($C65="","",IFERROR(INDEX(Fournisseurs!$G$5:$G$24,MATCH($C65,Fournisseurs!$A$5:$A$24,0)),""))</f>
        <v>0</v>
      </c>
      <c r="W65" s="18" t="n">
        <f aca="false">IF($C65="","",IFERROR(INDEX(Fournisseurs!$H$5:$H$24,MATCH($C65,Fournisseurs!$A$5:$A$24,0)),""))</f>
        <v>0</v>
      </c>
      <c r="X65" s="18" t="n">
        <f aca="false">IF($C65="","",IFERROR(INDEX(Fournisseurs!$B$5:$B$24,MATCH($C65,Fournisseurs!$A$5:$A$24,0)),""))</f>
        <v>0</v>
      </c>
      <c r="Y65" s="18" t="n">
        <f aca="false">IF($A65="","",IF(AND($A65&lt;&gt;"",$C65&lt;&gt;"",ISNUMBER($I65),ISNUMBER($J65),ISNUMBER($M65)),IF(AND($I65&gt;=1,$J65&gt;0,OR($K65="HT",$K65="TTC"),$M65&gt;=1,IFERROR(INDEX(Fournisseurs!$T$5:$T$24,MATCH($C65,Fournisseurs!$A$5:$A$24,0)),0)=1),1,0),0))</f>
        <v>0</v>
      </c>
      <c r="Z65" s="27" t="str">
        <f aca="false">IF($Y65=1,$J65*(1-N($L65)),"")</f>
        <v/>
      </c>
      <c r="AA65" s="28" t="str">
        <f aca="false">IF($Y65=1,IF($K65="TTC",$Z65/(1+$V65),$Z65),"")</f>
        <v/>
      </c>
      <c r="AB65" s="28" t="str">
        <f aca="false">IF($Y65=1,IF($K65="TTC",$Z65-$AA65,$AA65*$V65),"")</f>
        <v/>
      </c>
      <c r="AC65" s="27" t="str">
        <f aca="false">IF($Y65=1,$AA65*$U65*$M65,"")</f>
        <v/>
      </c>
      <c r="AD65" s="26" t="str">
        <f aca="false">IF($Y65=1,$AC65/SUMIFS($AC$6:$AC$205,$C$6:$C$205,$C65,$Y$6:$Y$205,1),"")</f>
        <v/>
      </c>
      <c r="AE65" s="28" t="str">
        <f aca="false">IF($Y65=1,(INDEX(Fournisseurs!$J$5:$J$24,MATCH($C65,Fournisseurs!$A$5:$A$24,0))+INDEX(Fournisseurs!$K$5:$K$24,MATCH($C65,Fournisseurs!$A$5:$A$24,0)))*$U65*$AD65/($I65*$M65),"")</f>
        <v/>
      </c>
      <c r="AF65" s="28" t="str">
        <f aca="false">IF($Y65=1,INDEX(Fournisseurs!$L$5:$L$24,MATCH($C65,Fournisseurs!$A$5:$A$24,0))*$AD65/($I65*$M65),"")</f>
        <v/>
      </c>
      <c r="AG65" s="28" t="str">
        <f aca="false">IF($Y65=1,$AA65*$U65/$I65,"")</f>
        <v/>
      </c>
      <c r="AH65" s="28" t="str">
        <f aca="false">IF($Y65=1,$AB65*$U65/$I65,"")</f>
        <v/>
      </c>
      <c r="AI65" s="18" t="str">
        <f aca="false">IF($Y65=1,IF(AND(Paramètres!$B$4="EFFECTIVE",$W65="CH",$AB65&gt;0),1,0),"")</f>
        <v/>
      </c>
      <c r="AJ65" s="28" t="str">
        <f aca="false">IF($Y65=1,IF($X65&lt;&gt;"CH",($AG65+$AE65+$AF65)*Paramètres!$B$14,0),"")</f>
        <v/>
      </c>
      <c r="AK65" s="29" t="str">
        <f aca="false">IF($Y65=1,$AG65+IF($AI65=1,0,$AH65)+$AE65+$AF65+IF(Paramètres!$B$4="NOT_REGISTERED",$AJ65,0),"")</f>
        <v/>
      </c>
      <c r="AL65" s="27" t="str">
        <f aca="false">IF($Y65=1,($AK65+Paramètres!$B$7+Paramètres!$B$8+Paramètres!$B$9+Paramètres!$B$10)/((1-Paramètres!$B$11)/(1+Paramètres!$B$5)-Paramètres!$B$6),"")</f>
        <v/>
      </c>
      <c r="AM65" s="26" t="str">
        <f aca="false">IF(AND($Y65=1,ISNUMBER($R65)),IF($R65&gt;0,$AL65/$R65-1,""),"")</f>
        <v/>
      </c>
      <c r="AN65" s="27" t="str">
        <f aca="false">IF(AND($Y65=1,ISNUMBER($R65)),IF($R65&gt;0,$R65/(1+Paramètres!$B$5)-$AK65-($R65*Paramètres!$B$6+Paramètres!$B$7)-Paramètres!$B$8-Paramètres!$B$9-Paramètres!$B$10,""),"")</f>
        <v/>
      </c>
      <c r="AO65" s="26" t="str">
        <f aca="false">IF(ISNUMBER($AN65),$AN65/($R65/(1+Paramètres!$B$5)),"")</f>
        <v/>
      </c>
      <c r="AP65" s="30" t="str">
        <f aca="false">IF($A65="","",IF($Y65&lt;&gt;1,"INCOMPLET",IF(NOT(ISNUMBER($AM65)),"SANS RÉF. MARCHÉ",IF($AM65&lt;=Paramètres!$B$12,"OK",IF(AND($AO65&gt;=Paramètres!$B$15,$AN65&gt;=Paramètres!$B$16),"À REVOIR","NON RENTABLE")))))</f>
        <v>INCOMPLET</v>
      </c>
      <c r="AQ65" s="18" t="str">
        <f aca="false">TRIM(IF(AND($Y65=1,ISNUMBER($N65)),IF($M65&lt;$N65,"MOQ ",""),"")&amp;IF(AND($Y65=1,ISNUMBER($O65)),IF($O65&lt;$I65*$M65,"DISPO ",""),"")&amp;IF($S65="O","FICTIF ","")&amp;IF($Y65=1,IF(AND($K65="TTC",$W65&lt;&gt;"CH"),"TVA-ÉTRANGÈRE ",""),""))</f>
        <v/>
      </c>
      <c r="AR65" s="18" t="str">
        <f aca="false">IF($Y65=1,COUNTIFS($A$6:$A$205,$A65,$AK$6:$AK$205,"&lt;"&amp;$AK65,$Y$6:$Y$205,1)+1,"")</f>
        <v/>
      </c>
      <c r="AS65" s="18" t="str">
        <f aca="false">IF(ISNUMBER($AR65),$A65&amp;"|"&amp;$AR65,"")</f>
        <v/>
      </c>
      <c r="AT65" s="27" t="str">
        <f aca="false">IF($Y65=1,$AK65*$I65*$M65,"")</f>
        <v/>
      </c>
    </row>
    <row r="66" customFormat="false" ht="15" hidden="false" customHeight="false" outlineLevel="0" collapsed="false">
      <c r="A66" s="9" t="s">
        <v>200</v>
      </c>
      <c r="B66" s="9" t="s">
        <v>201</v>
      </c>
      <c r="C66" s="9" t="s">
        <v>80</v>
      </c>
      <c r="D66" s="9"/>
      <c r="E66" s="9"/>
      <c r="F66" s="9"/>
      <c r="G66" s="9" t="s">
        <v>197</v>
      </c>
      <c r="H66" s="9" t="s">
        <v>172</v>
      </c>
      <c r="I66" s="9"/>
      <c r="J66" s="13"/>
      <c r="K66" s="9"/>
      <c r="L66" s="12"/>
      <c r="M66" s="9"/>
      <c r="N66" s="9"/>
      <c r="O66" s="9"/>
      <c r="P66" s="9"/>
      <c r="Q66" s="16"/>
      <c r="R66" s="13"/>
      <c r="S66" s="9" t="s">
        <v>78</v>
      </c>
      <c r="T66" s="18" t="n">
        <f aca="false">IF($C66="","",IFERROR(INDEX(Fournisseurs!$C$5:$C$24,MATCH($C66,Fournisseurs!$A$5:$A$24,0)),""))</f>
        <v>0</v>
      </c>
      <c r="U66" s="25" t="n">
        <f aca="false">IF($C66="","",IFERROR(INDEX(Fournisseurs!$D$5:$D$24,MATCH($C66,Fournisseurs!$A$5:$A$24,0)),""))</f>
        <v>0</v>
      </c>
      <c r="V66" s="26" t="n">
        <f aca="false">IF($C66="","",IFERROR(INDEX(Fournisseurs!$G$5:$G$24,MATCH($C66,Fournisseurs!$A$5:$A$24,0)),""))</f>
        <v>0</v>
      </c>
      <c r="W66" s="18" t="n">
        <f aca="false">IF($C66="","",IFERROR(INDEX(Fournisseurs!$H$5:$H$24,MATCH($C66,Fournisseurs!$A$5:$A$24,0)),""))</f>
        <v>0</v>
      </c>
      <c r="X66" s="18" t="n">
        <f aca="false">IF($C66="","",IFERROR(INDEX(Fournisseurs!$B$5:$B$24,MATCH($C66,Fournisseurs!$A$5:$A$24,0)),""))</f>
        <v>0</v>
      </c>
      <c r="Y66" s="18" t="n">
        <f aca="false">IF($A66="","",IF(AND($A66&lt;&gt;"",$C66&lt;&gt;"",ISNUMBER($I66),ISNUMBER($J66),ISNUMBER($M66)),IF(AND($I66&gt;=1,$J66&gt;0,OR($K66="HT",$K66="TTC"),$M66&gt;=1,IFERROR(INDEX(Fournisseurs!$T$5:$T$24,MATCH($C66,Fournisseurs!$A$5:$A$24,0)),0)=1),1,0),0))</f>
        <v>0</v>
      </c>
      <c r="Z66" s="27" t="str">
        <f aca="false">IF($Y66=1,$J66*(1-N($L66)),"")</f>
        <v/>
      </c>
      <c r="AA66" s="28" t="str">
        <f aca="false">IF($Y66=1,IF($K66="TTC",$Z66/(1+$V66),$Z66),"")</f>
        <v/>
      </c>
      <c r="AB66" s="28" t="str">
        <f aca="false">IF($Y66=1,IF($K66="TTC",$Z66-$AA66,$AA66*$V66),"")</f>
        <v/>
      </c>
      <c r="AC66" s="27" t="str">
        <f aca="false">IF($Y66=1,$AA66*$U66*$M66,"")</f>
        <v/>
      </c>
      <c r="AD66" s="26" t="str">
        <f aca="false">IF($Y66=1,$AC66/SUMIFS($AC$6:$AC$205,$C$6:$C$205,$C66,$Y$6:$Y$205,1),"")</f>
        <v/>
      </c>
      <c r="AE66" s="28" t="str">
        <f aca="false">IF($Y66=1,(INDEX(Fournisseurs!$J$5:$J$24,MATCH($C66,Fournisseurs!$A$5:$A$24,0))+INDEX(Fournisseurs!$K$5:$K$24,MATCH($C66,Fournisseurs!$A$5:$A$24,0)))*$U66*$AD66/($I66*$M66),"")</f>
        <v/>
      </c>
      <c r="AF66" s="28" t="str">
        <f aca="false">IF($Y66=1,INDEX(Fournisseurs!$L$5:$L$24,MATCH($C66,Fournisseurs!$A$5:$A$24,0))*$AD66/($I66*$M66),"")</f>
        <v/>
      </c>
      <c r="AG66" s="28" t="str">
        <f aca="false">IF($Y66=1,$AA66*$U66/$I66,"")</f>
        <v/>
      </c>
      <c r="AH66" s="28" t="str">
        <f aca="false">IF($Y66=1,$AB66*$U66/$I66,"")</f>
        <v/>
      </c>
      <c r="AI66" s="18" t="str">
        <f aca="false">IF($Y66=1,IF(AND(Paramètres!$B$4="EFFECTIVE",$W66="CH",$AB66&gt;0),1,0),"")</f>
        <v/>
      </c>
      <c r="AJ66" s="28" t="str">
        <f aca="false">IF($Y66=1,IF($X66&lt;&gt;"CH",($AG66+$AE66+$AF66)*Paramètres!$B$14,0),"")</f>
        <v/>
      </c>
      <c r="AK66" s="29" t="str">
        <f aca="false">IF($Y66=1,$AG66+IF($AI66=1,0,$AH66)+$AE66+$AF66+IF(Paramètres!$B$4="NOT_REGISTERED",$AJ66,0),"")</f>
        <v/>
      </c>
      <c r="AL66" s="27" t="str">
        <f aca="false">IF($Y66=1,($AK66+Paramètres!$B$7+Paramètres!$B$8+Paramètres!$B$9+Paramètres!$B$10)/((1-Paramètres!$B$11)/(1+Paramètres!$B$5)-Paramètres!$B$6),"")</f>
        <v/>
      </c>
      <c r="AM66" s="26" t="str">
        <f aca="false">IF(AND($Y66=1,ISNUMBER($R66)),IF($R66&gt;0,$AL66/$R66-1,""),"")</f>
        <v/>
      </c>
      <c r="AN66" s="27" t="str">
        <f aca="false">IF(AND($Y66=1,ISNUMBER($R66)),IF($R66&gt;0,$R66/(1+Paramètres!$B$5)-$AK66-($R66*Paramètres!$B$6+Paramètres!$B$7)-Paramètres!$B$8-Paramètres!$B$9-Paramètres!$B$10,""),"")</f>
        <v/>
      </c>
      <c r="AO66" s="26" t="str">
        <f aca="false">IF(ISNUMBER($AN66),$AN66/($R66/(1+Paramètres!$B$5)),"")</f>
        <v/>
      </c>
      <c r="AP66" s="30" t="str">
        <f aca="false">IF($A66="","",IF($Y66&lt;&gt;1,"INCOMPLET",IF(NOT(ISNUMBER($AM66)),"SANS RÉF. MARCHÉ",IF($AM66&lt;=Paramètres!$B$12,"OK",IF(AND($AO66&gt;=Paramètres!$B$15,$AN66&gt;=Paramètres!$B$16),"À REVOIR","NON RENTABLE")))))</f>
        <v>INCOMPLET</v>
      </c>
      <c r="AQ66" s="18" t="str">
        <f aca="false">TRIM(IF(AND($Y66=1,ISNUMBER($N66)),IF($M66&lt;$N66,"MOQ ",""),"")&amp;IF(AND($Y66=1,ISNUMBER($O66)),IF($O66&lt;$I66*$M66,"DISPO ",""),"")&amp;IF($S66="O","FICTIF ","")&amp;IF($Y66=1,IF(AND($K66="TTC",$W66&lt;&gt;"CH"),"TVA-ÉTRANGÈRE ",""),""))</f>
        <v/>
      </c>
      <c r="AR66" s="18" t="str">
        <f aca="false">IF($Y66=1,COUNTIFS($A$6:$A$205,$A66,$AK$6:$AK$205,"&lt;"&amp;$AK66,$Y$6:$Y$205,1)+1,"")</f>
        <v/>
      </c>
      <c r="AS66" s="18" t="str">
        <f aca="false">IF(ISNUMBER($AR66),$A66&amp;"|"&amp;$AR66,"")</f>
        <v/>
      </c>
      <c r="AT66" s="27" t="str">
        <f aca="false">IF($Y66=1,$AK66*$I66*$M66,"")</f>
        <v/>
      </c>
    </row>
    <row r="67" customFormat="false" ht="15" hidden="false" customHeight="false" outlineLevel="0" collapsed="false">
      <c r="A67" s="9" t="s">
        <v>202</v>
      </c>
      <c r="B67" s="9" t="s">
        <v>203</v>
      </c>
      <c r="C67" s="9" t="s">
        <v>80</v>
      </c>
      <c r="D67" s="9"/>
      <c r="E67" s="9"/>
      <c r="F67" s="9"/>
      <c r="G67" s="9"/>
      <c r="H67" s="9" t="s">
        <v>183</v>
      </c>
      <c r="I67" s="9"/>
      <c r="J67" s="13"/>
      <c r="K67" s="9"/>
      <c r="L67" s="12"/>
      <c r="M67" s="9"/>
      <c r="N67" s="9"/>
      <c r="O67" s="9"/>
      <c r="P67" s="9"/>
      <c r="Q67" s="16"/>
      <c r="R67" s="13"/>
      <c r="S67" s="9" t="s">
        <v>78</v>
      </c>
      <c r="T67" s="18" t="n">
        <f aca="false">IF($C67="","",IFERROR(INDEX(Fournisseurs!$C$5:$C$24,MATCH($C67,Fournisseurs!$A$5:$A$24,0)),""))</f>
        <v>0</v>
      </c>
      <c r="U67" s="25" t="n">
        <f aca="false">IF($C67="","",IFERROR(INDEX(Fournisseurs!$D$5:$D$24,MATCH($C67,Fournisseurs!$A$5:$A$24,0)),""))</f>
        <v>0</v>
      </c>
      <c r="V67" s="26" t="n">
        <f aca="false">IF($C67="","",IFERROR(INDEX(Fournisseurs!$G$5:$G$24,MATCH($C67,Fournisseurs!$A$5:$A$24,0)),""))</f>
        <v>0</v>
      </c>
      <c r="W67" s="18" t="n">
        <f aca="false">IF($C67="","",IFERROR(INDEX(Fournisseurs!$H$5:$H$24,MATCH($C67,Fournisseurs!$A$5:$A$24,0)),""))</f>
        <v>0</v>
      </c>
      <c r="X67" s="18" t="n">
        <f aca="false">IF($C67="","",IFERROR(INDEX(Fournisseurs!$B$5:$B$24,MATCH($C67,Fournisseurs!$A$5:$A$24,0)),""))</f>
        <v>0</v>
      </c>
      <c r="Y67" s="18" t="n">
        <f aca="false">IF($A67="","",IF(AND($A67&lt;&gt;"",$C67&lt;&gt;"",ISNUMBER($I67),ISNUMBER($J67),ISNUMBER($M67)),IF(AND($I67&gt;=1,$J67&gt;0,OR($K67="HT",$K67="TTC"),$M67&gt;=1,IFERROR(INDEX(Fournisseurs!$T$5:$T$24,MATCH($C67,Fournisseurs!$A$5:$A$24,0)),0)=1),1,0),0))</f>
        <v>0</v>
      </c>
      <c r="Z67" s="27" t="str">
        <f aca="false">IF($Y67=1,$J67*(1-N($L67)),"")</f>
        <v/>
      </c>
      <c r="AA67" s="28" t="str">
        <f aca="false">IF($Y67=1,IF($K67="TTC",$Z67/(1+$V67),$Z67),"")</f>
        <v/>
      </c>
      <c r="AB67" s="28" t="str">
        <f aca="false">IF($Y67=1,IF($K67="TTC",$Z67-$AA67,$AA67*$V67),"")</f>
        <v/>
      </c>
      <c r="AC67" s="27" t="str">
        <f aca="false">IF($Y67=1,$AA67*$U67*$M67,"")</f>
        <v/>
      </c>
      <c r="AD67" s="26" t="str">
        <f aca="false">IF($Y67=1,$AC67/SUMIFS($AC$6:$AC$205,$C$6:$C$205,$C67,$Y$6:$Y$205,1),"")</f>
        <v/>
      </c>
      <c r="AE67" s="28" t="str">
        <f aca="false">IF($Y67=1,(INDEX(Fournisseurs!$J$5:$J$24,MATCH($C67,Fournisseurs!$A$5:$A$24,0))+INDEX(Fournisseurs!$K$5:$K$24,MATCH($C67,Fournisseurs!$A$5:$A$24,0)))*$U67*$AD67/($I67*$M67),"")</f>
        <v/>
      </c>
      <c r="AF67" s="28" t="str">
        <f aca="false">IF($Y67=1,INDEX(Fournisseurs!$L$5:$L$24,MATCH($C67,Fournisseurs!$A$5:$A$24,0))*$AD67/($I67*$M67),"")</f>
        <v/>
      </c>
      <c r="AG67" s="28" t="str">
        <f aca="false">IF($Y67=1,$AA67*$U67/$I67,"")</f>
        <v/>
      </c>
      <c r="AH67" s="28" t="str">
        <f aca="false">IF($Y67=1,$AB67*$U67/$I67,"")</f>
        <v/>
      </c>
      <c r="AI67" s="18" t="str">
        <f aca="false">IF($Y67=1,IF(AND(Paramètres!$B$4="EFFECTIVE",$W67="CH",$AB67&gt;0),1,0),"")</f>
        <v/>
      </c>
      <c r="AJ67" s="28" t="str">
        <f aca="false">IF($Y67=1,IF($X67&lt;&gt;"CH",($AG67+$AE67+$AF67)*Paramètres!$B$14,0),"")</f>
        <v/>
      </c>
      <c r="AK67" s="29" t="str">
        <f aca="false">IF($Y67=1,$AG67+IF($AI67=1,0,$AH67)+$AE67+$AF67+IF(Paramètres!$B$4="NOT_REGISTERED",$AJ67,0),"")</f>
        <v/>
      </c>
      <c r="AL67" s="27" t="str">
        <f aca="false">IF($Y67=1,($AK67+Paramètres!$B$7+Paramètres!$B$8+Paramètres!$B$9+Paramètres!$B$10)/((1-Paramètres!$B$11)/(1+Paramètres!$B$5)-Paramètres!$B$6),"")</f>
        <v/>
      </c>
      <c r="AM67" s="26" t="str">
        <f aca="false">IF(AND($Y67=1,ISNUMBER($R67)),IF($R67&gt;0,$AL67/$R67-1,""),"")</f>
        <v/>
      </c>
      <c r="AN67" s="27" t="str">
        <f aca="false">IF(AND($Y67=1,ISNUMBER($R67)),IF($R67&gt;0,$R67/(1+Paramètres!$B$5)-$AK67-($R67*Paramètres!$B$6+Paramètres!$B$7)-Paramètres!$B$8-Paramètres!$B$9-Paramètres!$B$10,""),"")</f>
        <v/>
      </c>
      <c r="AO67" s="26" t="str">
        <f aca="false">IF(ISNUMBER($AN67),$AN67/($R67/(1+Paramètres!$B$5)),"")</f>
        <v/>
      </c>
      <c r="AP67" s="30" t="str">
        <f aca="false">IF($A67="","",IF($Y67&lt;&gt;1,"INCOMPLET",IF(NOT(ISNUMBER($AM67)),"SANS RÉF. MARCHÉ",IF($AM67&lt;=Paramètres!$B$12,"OK",IF(AND($AO67&gt;=Paramètres!$B$15,$AN67&gt;=Paramètres!$B$16),"À REVOIR","NON RENTABLE")))))</f>
        <v>INCOMPLET</v>
      </c>
      <c r="AQ67" s="18" t="str">
        <f aca="false">TRIM(IF(AND($Y67=1,ISNUMBER($N67)),IF($M67&lt;$N67,"MOQ ",""),"")&amp;IF(AND($Y67=1,ISNUMBER($O67)),IF($O67&lt;$I67*$M67,"DISPO ",""),"")&amp;IF($S67="O","FICTIF ","")&amp;IF($Y67=1,IF(AND($K67="TTC",$W67&lt;&gt;"CH"),"TVA-ÉTRANGÈRE ",""),""))</f>
        <v/>
      </c>
      <c r="AR67" s="18" t="str">
        <f aca="false">IF($Y67=1,COUNTIFS($A$6:$A$205,$A67,$AK$6:$AK$205,"&lt;"&amp;$AK67,$Y$6:$Y$205,1)+1,"")</f>
        <v/>
      </c>
      <c r="AS67" s="18" t="str">
        <f aca="false">IF(ISNUMBER($AR67),$A67&amp;"|"&amp;$AR67,"")</f>
        <v/>
      </c>
      <c r="AT67" s="27" t="str">
        <f aca="false">IF($Y67=1,$AK67*$I67*$M67,"")</f>
        <v/>
      </c>
    </row>
    <row r="68" customFormat="false" ht="15" hidden="false" customHeight="false" outlineLevel="0" collapsed="false">
      <c r="A68" s="9"/>
      <c r="B68" s="9"/>
      <c r="C68" s="9"/>
      <c r="D68" s="9"/>
      <c r="E68" s="9"/>
      <c r="F68" s="9"/>
      <c r="G68" s="9"/>
      <c r="H68" s="9"/>
      <c r="I68" s="9"/>
      <c r="J68" s="13"/>
      <c r="K68" s="9"/>
      <c r="L68" s="12"/>
      <c r="M68" s="9"/>
      <c r="N68" s="9"/>
      <c r="O68" s="9"/>
      <c r="P68" s="9"/>
      <c r="Q68" s="16"/>
      <c r="R68" s="13"/>
      <c r="S68" s="9"/>
      <c r="T68" s="18" t="str">
        <f aca="false">IF($C68="","",IFERROR(INDEX(Fournisseurs!$C$5:$C$24,MATCH($C68,Fournisseurs!$A$5:$A$24,0)),""))</f>
        <v/>
      </c>
      <c r="U68" s="25" t="str">
        <f aca="false">IF($C68="","",IFERROR(INDEX(Fournisseurs!$D$5:$D$24,MATCH($C68,Fournisseurs!$A$5:$A$24,0)),""))</f>
        <v/>
      </c>
      <c r="V68" s="26" t="str">
        <f aca="false">IF($C68="","",IFERROR(INDEX(Fournisseurs!$G$5:$G$24,MATCH($C68,Fournisseurs!$A$5:$A$24,0)),""))</f>
        <v/>
      </c>
      <c r="W68" s="18" t="str">
        <f aca="false">IF($C68="","",IFERROR(INDEX(Fournisseurs!$H$5:$H$24,MATCH($C68,Fournisseurs!$A$5:$A$24,0)),""))</f>
        <v/>
      </c>
      <c r="X68" s="18" t="str">
        <f aca="false">IF($C68="","",IFERROR(INDEX(Fournisseurs!$B$5:$B$24,MATCH($C68,Fournisseurs!$A$5:$A$24,0)),""))</f>
        <v/>
      </c>
      <c r="Y68" s="18" t="str">
        <f aca="false">IF($A68="","",IF(AND($A68&lt;&gt;"",$C68&lt;&gt;"",ISNUMBER($I68),ISNUMBER($J68),ISNUMBER($M68)),IF(AND($I68&gt;=1,$J68&gt;0,OR($K68="HT",$K68="TTC"),$M68&gt;=1,IFERROR(INDEX(Fournisseurs!$T$5:$T$24,MATCH($C68,Fournisseurs!$A$5:$A$24,0)),0)=1),1,0),0))</f>
        <v/>
      </c>
      <c r="Z68" s="27" t="str">
        <f aca="false">IF($Y68=1,$J68*(1-N($L68)),"")</f>
        <v/>
      </c>
      <c r="AA68" s="28" t="str">
        <f aca="false">IF($Y68=1,IF($K68="TTC",$Z68/(1+$V68),$Z68),"")</f>
        <v/>
      </c>
      <c r="AB68" s="28" t="str">
        <f aca="false">IF($Y68=1,IF($K68="TTC",$Z68-$AA68,$AA68*$V68),"")</f>
        <v/>
      </c>
      <c r="AC68" s="27" t="str">
        <f aca="false">IF($Y68=1,$AA68*$U68*$M68,"")</f>
        <v/>
      </c>
      <c r="AD68" s="26" t="str">
        <f aca="false">IF($Y68=1,$AC68/SUMIFS($AC$6:$AC$205,$C$6:$C$205,$C68,$Y$6:$Y$205,1),"")</f>
        <v/>
      </c>
      <c r="AE68" s="28" t="str">
        <f aca="false">IF($Y68=1,(INDEX(Fournisseurs!$J$5:$J$24,MATCH($C68,Fournisseurs!$A$5:$A$24,0))+INDEX(Fournisseurs!$K$5:$K$24,MATCH($C68,Fournisseurs!$A$5:$A$24,0)))*$U68*$AD68/($I68*$M68),"")</f>
        <v/>
      </c>
      <c r="AF68" s="28" t="str">
        <f aca="false">IF($Y68=1,INDEX(Fournisseurs!$L$5:$L$24,MATCH($C68,Fournisseurs!$A$5:$A$24,0))*$AD68/($I68*$M68),"")</f>
        <v/>
      </c>
      <c r="AG68" s="28" t="str">
        <f aca="false">IF($Y68=1,$AA68*$U68/$I68,"")</f>
        <v/>
      </c>
      <c r="AH68" s="28" t="str">
        <f aca="false">IF($Y68=1,$AB68*$U68/$I68,"")</f>
        <v/>
      </c>
      <c r="AI68" s="18" t="str">
        <f aca="false">IF($Y68=1,IF(AND(Paramètres!$B$4="EFFECTIVE",$W68="CH",$AB68&gt;0),1,0),"")</f>
        <v/>
      </c>
      <c r="AJ68" s="28" t="str">
        <f aca="false">IF($Y68=1,IF($X68&lt;&gt;"CH",($AG68+$AE68+$AF68)*Paramètres!$B$14,0),"")</f>
        <v/>
      </c>
      <c r="AK68" s="29" t="str">
        <f aca="false">IF($Y68=1,$AG68+IF($AI68=1,0,$AH68)+$AE68+$AF68+IF(Paramètres!$B$4="NOT_REGISTERED",$AJ68,0),"")</f>
        <v/>
      </c>
      <c r="AL68" s="27" t="str">
        <f aca="false">IF($Y68=1,($AK68+Paramètres!$B$7+Paramètres!$B$8+Paramètres!$B$9+Paramètres!$B$10)/((1-Paramètres!$B$11)/(1+Paramètres!$B$5)-Paramètres!$B$6),"")</f>
        <v/>
      </c>
      <c r="AM68" s="26" t="str">
        <f aca="false">IF(AND($Y68=1,ISNUMBER($R68)),IF($R68&gt;0,$AL68/$R68-1,""),"")</f>
        <v/>
      </c>
      <c r="AN68" s="27" t="str">
        <f aca="false">IF(AND($Y68=1,ISNUMBER($R68)),IF($R68&gt;0,$R68/(1+Paramètres!$B$5)-$AK68-($R68*Paramètres!$B$6+Paramètres!$B$7)-Paramètres!$B$8-Paramètres!$B$9-Paramètres!$B$10,""),"")</f>
        <v/>
      </c>
      <c r="AO68" s="26" t="str">
        <f aca="false">IF(ISNUMBER($AN68),$AN68/($R68/(1+Paramètres!$B$5)),"")</f>
        <v/>
      </c>
      <c r="AP68" s="30" t="str">
        <f aca="false">IF($A68="","",IF($Y68&lt;&gt;1,"INCOMPLET",IF(NOT(ISNUMBER($AM68)),"SANS RÉF. MARCHÉ",IF($AM68&lt;=Paramètres!$B$12,"OK",IF(AND($AO68&gt;=Paramètres!$B$15,$AN68&gt;=Paramètres!$B$16),"À REVOIR","NON RENTABLE")))))</f>
        <v/>
      </c>
      <c r="AQ68" s="18" t="str">
        <f aca="false">TRIM(IF(AND($Y68=1,ISNUMBER($N68)),IF($M68&lt;$N68,"MOQ ",""),"")&amp;IF(AND($Y68=1,ISNUMBER($O68)),IF($O68&lt;$I68*$M68,"DISPO ",""),"")&amp;IF($S68="O","FICTIF ","")&amp;IF($Y68=1,IF(AND($K68="TTC",$W68&lt;&gt;"CH"),"TVA-ÉTRANGÈRE ",""),""))</f>
        <v/>
      </c>
      <c r="AR68" s="18" t="str">
        <f aca="false">IF($Y68=1,COUNTIFS($A$6:$A$205,$A68,$AK$6:$AK$205,"&lt;"&amp;$AK68,$Y$6:$Y$205,1)+1,"")</f>
        <v/>
      </c>
      <c r="AS68" s="18" t="str">
        <f aca="false">IF(ISNUMBER($AR68),$A68&amp;"|"&amp;$AR68,"")</f>
        <v/>
      </c>
      <c r="AT68" s="27" t="str">
        <f aca="false">IF($Y68=1,$AK68*$I68*$M68,"")</f>
        <v/>
      </c>
    </row>
    <row r="69" customFormat="false" ht="15" hidden="false" customHeight="false" outlineLevel="0" collapsed="false">
      <c r="A69" s="9"/>
      <c r="B69" s="9"/>
      <c r="C69" s="9"/>
      <c r="D69" s="9"/>
      <c r="E69" s="9"/>
      <c r="F69" s="9"/>
      <c r="G69" s="9"/>
      <c r="H69" s="9"/>
      <c r="I69" s="9"/>
      <c r="J69" s="13"/>
      <c r="K69" s="9"/>
      <c r="L69" s="12"/>
      <c r="M69" s="9"/>
      <c r="N69" s="9"/>
      <c r="O69" s="9"/>
      <c r="P69" s="9"/>
      <c r="Q69" s="16"/>
      <c r="R69" s="13"/>
      <c r="S69" s="9"/>
      <c r="T69" s="18" t="str">
        <f aca="false">IF($C69="","",IFERROR(INDEX(Fournisseurs!$C$5:$C$24,MATCH($C69,Fournisseurs!$A$5:$A$24,0)),""))</f>
        <v/>
      </c>
      <c r="U69" s="25" t="str">
        <f aca="false">IF($C69="","",IFERROR(INDEX(Fournisseurs!$D$5:$D$24,MATCH($C69,Fournisseurs!$A$5:$A$24,0)),""))</f>
        <v/>
      </c>
      <c r="V69" s="26" t="str">
        <f aca="false">IF($C69="","",IFERROR(INDEX(Fournisseurs!$G$5:$G$24,MATCH($C69,Fournisseurs!$A$5:$A$24,0)),""))</f>
        <v/>
      </c>
      <c r="W69" s="18" t="str">
        <f aca="false">IF($C69="","",IFERROR(INDEX(Fournisseurs!$H$5:$H$24,MATCH($C69,Fournisseurs!$A$5:$A$24,0)),""))</f>
        <v/>
      </c>
      <c r="X69" s="18" t="str">
        <f aca="false">IF($C69="","",IFERROR(INDEX(Fournisseurs!$B$5:$B$24,MATCH($C69,Fournisseurs!$A$5:$A$24,0)),""))</f>
        <v/>
      </c>
      <c r="Y69" s="18" t="str">
        <f aca="false">IF($A69="","",IF(AND($A69&lt;&gt;"",$C69&lt;&gt;"",ISNUMBER($I69),ISNUMBER($J69),ISNUMBER($M69)),IF(AND($I69&gt;=1,$J69&gt;0,OR($K69="HT",$K69="TTC"),$M69&gt;=1,IFERROR(INDEX(Fournisseurs!$T$5:$T$24,MATCH($C69,Fournisseurs!$A$5:$A$24,0)),0)=1),1,0),0))</f>
        <v/>
      </c>
      <c r="Z69" s="27" t="str">
        <f aca="false">IF($Y69=1,$J69*(1-N($L69)),"")</f>
        <v/>
      </c>
      <c r="AA69" s="28" t="str">
        <f aca="false">IF($Y69=1,IF($K69="TTC",$Z69/(1+$V69),$Z69),"")</f>
        <v/>
      </c>
      <c r="AB69" s="28" t="str">
        <f aca="false">IF($Y69=1,IF($K69="TTC",$Z69-$AA69,$AA69*$V69),"")</f>
        <v/>
      </c>
      <c r="AC69" s="27" t="str">
        <f aca="false">IF($Y69=1,$AA69*$U69*$M69,"")</f>
        <v/>
      </c>
      <c r="AD69" s="26" t="str">
        <f aca="false">IF($Y69=1,$AC69/SUMIFS($AC$6:$AC$205,$C$6:$C$205,$C69,$Y$6:$Y$205,1),"")</f>
        <v/>
      </c>
      <c r="AE69" s="28" t="str">
        <f aca="false">IF($Y69=1,(INDEX(Fournisseurs!$J$5:$J$24,MATCH($C69,Fournisseurs!$A$5:$A$24,0))+INDEX(Fournisseurs!$K$5:$K$24,MATCH($C69,Fournisseurs!$A$5:$A$24,0)))*$U69*$AD69/($I69*$M69),"")</f>
        <v/>
      </c>
      <c r="AF69" s="28" t="str">
        <f aca="false">IF($Y69=1,INDEX(Fournisseurs!$L$5:$L$24,MATCH($C69,Fournisseurs!$A$5:$A$24,0))*$AD69/($I69*$M69),"")</f>
        <v/>
      </c>
      <c r="AG69" s="28" t="str">
        <f aca="false">IF($Y69=1,$AA69*$U69/$I69,"")</f>
        <v/>
      </c>
      <c r="AH69" s="28" t="str">
        <f aca="false">IF($Y69=1,$AB69*$U69/$I69,"")</f>
        <v/>
      </c>
      <c r="AI69" s="18" t="str">
        <f aca="false">IF($Y69=1,IF(AND(Paramètres!$B$4="EFFECTIVE",$W69="CH",$AB69&gt;0),1,0),"")</f>
        <v/>
      </c>
      <c r="AJ69" s="28" t="str">
        <f aca="false">IF($Y69=1,IF($X69&lt;&gt;"CH",($AG69+$AE69+$AF69)*Paramètres!$B$14,0),"")</f>
        <v/>
      </c>
      <c r="AK69" s="29" t="str">
        <f aca="false">IF($Y69=1,$AG69+IF($AI69=1,0,$AH69)+$AE69+$AF69+IF(Paramètres!$B$4="NOT_REGISTERED",$AJ69,0),"")</f>
        <v/>
      </c>
      <c r="AL69" s="27" t="str">
        <f aca="false">IF($Y69=1,($AK69+Paramètres!$B$7+Paramètres!$B$8+Paramètres!$B$9+Paramètres!$B$10)/((1-Paramètres!$B$11)/(1+Paramètres!$B$5)-Paramètres!$B$6),"")</f>
        <v/>
      </c>
      <c r="AM69" s="26" t="str">
        <f aca="false">IF(AND($Y69=1,ISNUMBER($R69)),IF($R69&gt;0,$AL69/$R69-1,""),"")</f>
        <v/>
      </c>
      <c r="AN69" s="27" t="str">
        <f aca="false">IF(AND($Y69=1,ISNUMBER($R69)),IF($R69&gt;0,$R69/(1+Paramètres!$B$5)-$AK69-($R69*Paramètres!$B$6+Paramètres!$B$7)-Paramètres!$B$8-Paramètres!$B$9-Paramètres!$B$10,""),"")</f>
        <v/>
      </c>
      <c r="AO69" s="26" t="str">
        <f aca="false">IF(ISNUMBER($AN69),$AN69/($R69/(1+Paramètres!$B$5)),"")</f>
        <v/>
      </c>
      <c r="AP69" s="30" t="str">
        <f aca="false">IF($A69="","",IF($Y69&lt;&gt;1,"INCOMPLET",IF(NOT(ISNUMBER($AM69)),"SANS RÉF. MARCHÉ",IF($AM69&lt;=Paramètres!$B$12,"OK",IF(AND($AO69&gt;=Paramètres!$B$15,$AN69&gt;=Paramètres!$B$16),"À REVOIR","NON RENTABLE")))))</f>
        <v/>
      </c>
      <c r="AQ69" s="18" t="str">
        <f aca="false">TRIM(IF(AND($Y69=1,ISNUMBER($N69)),IF($M69&lt;$N69,"MOQ ",""),"")&amp;IF(AND($Y69=1,ISNUMBER($O69)),IF($O69&lt;$I69*$M69,"DISPO ",""),"")&amp;IF($S69="O","FICTIF ","")&amp;IF($Y69=1,IF(AND($K69="TTC",$W69&lt;&gt;"CH"),"TVA-ÉTRANGÈRE ",""),""))</f>
        <v/>
      </c>
      <c r="AR69" s="18" t="str">
        <f aca="false">IF($Y69=1,COUNTIFS($A$6:$A$205,$A69,$AK$6:$AK$205,"&lt;"&amp;$AK69,$Y$6:$Y$205,1)+1,"")</f>
        <v/>
      </c>
      <c r="AS69" s="18" t="str">
        <f aca="false">IF(ISNUMBER($AR69),$A69&amp;"|"&amp;$AR69,"")</f>
        <v/>
      </c>
      <c r="AT69" s="27" t="str">
        <f aca="false">IF($Y69=1,$AK69*$I69*$M69,"")</f>
        <v/>
      </c>
    </row>
    <row r="70" customFormat="false" ht="15" hidden="false" customHeight="false" outlineLevel="0" collapsed="false">
      <c r="A70" s="9"/>
      <c r="B70" s="9"/>
      <c r="C70" s="9"/>
      <c r="D70" s="9"/>
      <c r="E70" s="9"/>
      <c r="F70" s="9"/>
      <c r="G70" s="9"/>
      <c r="H70" s="9"/>
      <c r="I70" s="9"/>
      <c r="J70" s="13"/>
      <c r="K70" s="9"/>
      <c r="L70" s="12"/>
      <c r="M70" s="9"/>
      <c r="N70" s="9"/>
      <c r="O70" s="9"/>
      <c r="P70" s="9"/>
      <c r="Q70" s="16"/>
      <c r="R70" s="13"/>
      <c r="S70" s="9"/>
      <c r="T70" s="18" t="str">
        <f aca="false">IF($C70="","",IFERROR(INDEX(Fournisseurs!$C$5:$C$24,MATCH($C70,Fournisseurs!$A$5:$A$24,0)),""))</f>
        <v/>
      </c>
      <c r="U70" s="25" t="str">
        <f aca="false">IF($C70="","",IFERROR(INDEX(Fournisseurs!$D$5:$D$24,MATCH($C70,Fournisseurs!$A$5:$A$24,0)),""))</f>
        <v/>
      </c>
      <c r="V70" s="26" t="str">
        <f aca="false">IF($C70="","",IFERROR(INDEX(Fournisseurs!$G$5:$G$24,MATCH($C70,Fournisseurs!$A$5:$A$24,0)),""))</f>
        <v/>
      </c>
      <c r="W70" s="18" t="str">
        <f aca="false">IF($C70="","",IFERROR(INDEX(Fournisseurs!$H$5:$H$24,MATCH($C70,Fournisseurs!$A$5:$A$24,0)),""))</f>
        <v/>
      </c>
      <c r="X70" s="18" t="str">
        <f aca="false">IF($C70="","",IFERROR(INDEX(Fournisseurs!$B$5:$B$24,MATCH($C70,Fournisseurs!$A$5:$A$24,0)),""))</f>
        <v/>
      </c>
      <c r="Y70" s="18" t="str">
        <f aca="false">IF($A70="","",IF(AND($A70&lt;&gt;"",$C70&lt;&gt;"",ISNUMBER($I70),ISNUMBER($J70),ISNUMBER($M70)),IF(AND($I70&gt;=1,$J70&gt;0,OR($K70="HT",$K70="TTC"),$M70&gt;=1,IFERROR(INDEX(Fournisseurs!$T$5:$T$24,MATCH($C70,Fournisseurs!$A$5:$A$24,0)),0)=1),1,0),0))</f>
        <v/>
      </c>
      <c r="Z70" s="27" t="str">
        <f aca="false">IF($Y70=1,$J70*(1-N($L70)),"")</f>
        <v/>
      </c>
      <c r="AA70" s="28" t="str">
        <f aca="false">IF($Y70=1,IF($K70="TTC",$Z70/(1+$V70),$Z70),"")</f>
        <v/>
      </c>
      <c r="AB70" s="28" t="str">
        <f aca="false">IF($Y70=1,IF($K70="TTC",$Z70-$AA70,$AA70*$V70),"")</f>
        <v/>
      </c>
      <c r="AC70" s="27" t="str">
        <f aca="false">IF($Y70=1,$AA70*$U70*$M70,"")</f>
        <v/>
      </c>
      <c r="AD70" s="26" t="str">
        <f aca="false">IF($Y70=1,$AC70/SUMIFS($AC$6:$AC$205,$C$6:$C$205,$C70,$Y$6:$Y$205,1),"")</f>
        <v/>
      </c>
      <c r="AE70" s="28" t="str">
        <f aca="false">IF($Y70=1,(INDEX(Fournisseurs!$J$5:$J$24,MATCH($C70,Fournisseurs!$A$5:$A$24,0))+INDEX(Fournisseurs!$K$5:$K$24,MATCH($C70,Fournisseurs!$A$5:$A$24,0)))*$U70*$AD70/($I70*$M70),"")</f>
        <v/>
      </c>
      <c r="AF70" s="28" t="str">
        <f aca="false">IF($Y70=1,INDEX(Fournisseurs!$L$5:$L$24,MATCH($C70,Fournisseurs!$A$5:$A$24,0))*$AD70/($I70*$M70),"")</f>
        <v/>
      </c>
      <c r="AG70" s="28" t="str">
        <f aca="false">IF($Y70=1,$AA70*$U70/$I70,"")</f>
        <v/>
      </c>
      <c r="AH70" s="28" t="str">
        <f aca="false">IF($Y70=1,$AB70*$U70/$I70,"")</f>
        <v/>
      </c>
      <c r="AI70" s="18" t="str">
        <f aca="false">IF($Y70=1,IF(AND(Paramètres!$B$4="EFFECTIVE",$W70="CH",$AB70&gt;0),1,0),"")</f>
        <v/>
      </c>
      <c r="AJ70" s="28" t="str">
        <f aca="false">IF($Y70=1,IF($X70&lt;&gt;"CH",($AG70+$AE70+$AF70)*Paramètres!$B$14,0),"")</f>
        <v/>
      </c>
      <c r="AK70" s="29" t="str">
        <f aca="false">IF($Y70=1,$AG70+IF($AI70=1,0,$AH70)+$AE70+$AF70+IF(Paramètres!$B$4="NOT_REGISTERED",$AJ70,0),"")</f>
        <v/>
      </c>
      <c r="AL70" s="27" t="str">
        <f aca="false">IF($Y70=1,($AK70+Paramètres!$B$7+Paramètres!$B$8+Paramètres!$B$9+Paramètres!$B$10)/((1-Paramètres!$B$11)/(1+Paramètres!$B$5)-Paramètres!$B$6),"")</f>
        <v/>
      </c>
      <c r="AM70" s="26" t="str">
        <f aca="false">IF(AND($Y70=1,ISNUMBER($R70)),IF($R70&gt;0,$AL70/$R70-1,""),"")</f>
        <v/>
      </c>
      <c r="AN70" s="27" t="str">
        <f aca="false">IF(AND($Y70=1,ISNUMBER($R70)),IF($R70&gt;0,$R70/(1+Paramètres!$B$5)-$AK70-($R70*Paramètres!$B$6+Paramètres!$B$7)-Paramètres!$B$8-Paramètres!$B$9-Paramètres!$B$10,""),"")</f>
        <v/>
      </c>
      <c r="AO70" s="26" t="str">
        <f aca="false">IF(ISNUMBER($AN70),$AN70/($R70/(1+Paramètres!$B$5)),"")</f>
        <v/>
      </c>
      <c r="AP70" s="30" t="str">
        <f aca="false">IF($A70="","",IF($Y70&lt;&gt;1,"INCOMPLET",IF(NOT(ISNUMBER($AM70)),"SANS RÉF. MARCHÉ",IF($AM70&lt;=Paramètres!$B$12,"OK",IF(AND($AO70&gt;=Paramètres!$B$15,$AN70&gt;=Paramètres!$B$16),"À REVOIR","NON RENTABLE")))))</f>
        <v/>
      </c>
      <c r="AQ70" s="18" t="str">
        <f aca="false">TRIM(IF(AND($Y70=1,ISNUMBER($N70)),IF($M70&lt;$N70,"MOQ ",""),"")&amp;IF(AND($Y70=1,ISNUMBER($O70)),IF($O70&lt;$I70*$M70,"DISPO ",""),"")&amp;IF($S70="O","FICTIF ","")&amp;IF($Y70=1,IF(AND($K70="TTC",$W70&lt;&gt;"CH"),"TVA-ÉTRANGÈRE ",""),""))</f>
        <v/>
      </c>
      <c r="AR70" s="18" t="str">
        <f aca="false">IF($Y70=1,COUNTIFS($A$6:$A$205,$A70,$AK$6:$AK$205,"&lt;"&amp;$AK70,$Y$6:$Y$205,1)+1,"")</f>
        <v/>
      </c>
      <c r="AS70" s="18" t="str">
        <f aca="false">IF(ISNUMBER($AR70),$A70&amp;"|"&amp;$AR70,"")</f>
        <v/>
      </c>
      <c r="AT70" s="27" t="str">
        <f aca="false">IF($Y70=1,$AK70*$I70*$M70,"")</f>
        <v/>
      </c>
    </row>
    <row r="71" customFormat="false" ht="15" hidden="false" customHeight="false" outlineLevel="0" collapsed="false">
      <c r="A71" s="9"/>
      <c r="B71" s="9"/>
      <c r="C71" s="9"/>
      <c r="D71" s="9"/>
      <c r="E71" s="9"/>
      <c r="F71" s="9"/>
      <c r="G71" s="9"/>
      <c r="H71" s="9"/>
      <c r="I71" s="9"/>
      <c r="J71" s="13"/>
      <c r="K71" s="9"/>
      <c r="L71" s="12"/>
      <c r="M71" s="9"/>
      <c r="N71" s="9"/>
      <c r="O71" s="9"/>
      <c r="P71" s="9"/>
      <c r="Q71" s="16"/>
      <c r="R71" s="13"/>
      <c r="S71" s="9"/>
      <c r="T71" s="18" t="str">
        <f aca="false">IF($C71="","",IFERROR(INDEX(Fournisseurs!$C$5:$C$24,MATCH($C71,Fournisseurs!$A$5:$A$24,0)),""))</f>
        <v/>
      </c>
      <c r="U71" s="25" t="str">
        <f aca="false">IF($C71="","",IFERROR(INDEX(Fournisseurs!$D$5:$D$24,MATCH($C71,Fournisseurs!$A$5:$A$24,0)),""))</f>
        <v/>
      </c>
      <c r="V71" s="26" t="str">
        <f aca="false">IF($C71="","",IFERROR(INDEX(Fournisseurs!$G$5:$G$24,MATCH($C71,Fournisseurs!$A$5:$A$24,0)),""))</f>
        <v/>
      </c>
      <c r="W71" s="18" t="str">
        <f aca="false">IF($C71="","",IFERROR(INDEX(Fournisseurs!$H$5:$H$24,MATCH($C71,Fournisseurs!$A$5:$A$24,0)),""))</f>
        <v/>
      </c>
      <c r="X71" s="18" t="str">
        <f aca="false">IF($C71="","",IFERROR(INDEX(Fournisseurs!$B$5:$B$24,MATCH($C71,Fournisseurs!$A$5:$A$24,0)),""))</f>
        <v/>
      </c>
      <c r="Y71" s="18" t="str">
        <f aca="false">IF($A71="","",IF(AND($A71&lt;&gt;"",$C71&lt;&gt;"",ISNUMBER($I71),ISNUMBER($J71),ISNUMBER($M71)),IF(AND($I71&gt;=1,$J71&gt;0,OR($K71="HT",$K71="TTC"),$M71&gt;=1,IFERROR(INDEX(Fournisseurs!$T$5:$T$24,MATCH($C71,Fournisseurs!$A$5:$A$24,0)),0)=1),1,0),0))</f>
        <v/>
      </c>
      <c r="Z71" s="27" t="str">
        <f aca="false">IF($Y71=1,$J71*(1-N($L71)),"")</f>
        <v/>
      </c>
      <c r="AA71" s="28" t="str">
        <f aca="false">IF($Y71=1,IF($K71="TTC",$Z71/(1+$V71),$Z71),"")</f>
        <v/>
      </c>
      <c r="AB71" s="28" t="str">
        <f aca="false">IF($Y71=1,IF($K71="TTC",$Z71-$AA71,$AA71*$V71),"")</f>
        <v/>
      </c>
      <c r="AC71" s="27" t="str">
        <f aca="false">IF($Y71=1,$AA71*$U71*$M71,"")</f>
        <v/>
      </c>
      <c r="AD71" s="26" t="str">
        <f aca="false">IF($Y71=1,$AC71/SUMIFS($AC$6:$AC$205,$C$6:$C$205,$C71,$Y$6:$Y$205,1),"")</f>
        <v/>
      </c>
      <c r="AE71" s="28" t="str">
        <f aca="false">IF($Y71=1,(INDEX(Fournisseurs!$J$5:$J$24,MATCH($C71,Fournisseurs!$A$5:$A$24,0))+INDEX(Fournisseurs!$K$5:$K$24,MATCH($C71,Fournisseurs!$A$5:$A$24,0)))*$U71*$AD71/($I71*$M71),"")</f>
        <v/>
      </c>
      <c r="AF71" s="28" t="str">
        <f aca="false">IF($Y71=1,INDEX(Fournisseurs!$L$5:$L$24,MATCH($C71,Fournisseurs!$A$5:$A$24,0))*$AD71/($I71*$M71),"")</f>
        <v/>
      </c>
      <c r="AG71" s="28" t="str">
        <f aca="false">IF($Y71=1,$AA71*$U71/$I71,"")</f>
        <v/>
      </c>
      <c r="AH71" s="28" t="str">
        <f aca="false">IF($Y71=1,$AB71*$U71/$I71,"")</f>
        <v/>
      </c>
      <c r="AI71" s="18" t="str">
        <f aca="false">IF($Y71=1,IF(AND(Paramètres!$B$4="EFFECTIVE",$W71="CH",$AB71&gt;0),1,0),"")</f>
        <v/>
      </c>
      <c r="AJ71" s="28" t="str">
        <f aca="false">IF($Y71=1,IF($X71&lt;&gt;"CH",($AG71+$AE71+$AF71)*Paramètres!$B$14,0),"")</f>
        <v/>
      </c>
      <c r="AK71" s="29" t="str">
        <f aca="false">IF($Y71=1,$AG71+IF($AI71=1,0,$AH71)+$AE71+$AF71+IF(Paramètres!$B$4="NOT_REGISTERED",$AJ71,0),"")</f>
        <v/>
      </c>
      <c r="AL71" s="27" t="str">
        <f aca="false">IF($Y71=1,($AK71+Paramètres!$B$7+Paramètres!$B$8+Paramètres!$B$9+Paramètres!$B$10)/((1-Paramètres!$B$11)/(1+Paramètres!$B$5)-Paramètres!$B$6),"")</f>
        <v/>
      </c>
      <c r="AM71" s="26" t="str">
        <f aca="false">IF(AND($Y71=1,ISNUMBER($R71)),IF($R71&gt;0,$AL71/$R71-1,""),"")</f>
        <v/>
      </c>
      <c r="AN71" s="27" t="str">
        <f aca="false">IF(AND($Y71=1,ISNUMBER($R71)),IF($R71&gt;0,$R71/(1+Paramètres!$B$5)-$AK71-($R71*Paramètres!$B$6+Paramètres!$B$7)-Paramètres!$B$8-Paramètres!$B$9-Paramètres!$B$10,""),"")</f>
        <v/>
      </c>
      <c r="AO71" s="26" t="str">
        <f aca="false">IF(ISNUMBER($AN71),$AN71/($R71/(1+Paramètres!$B$5)),"")</f>
        <v/>
      </c>
      <c r="AP71" s="30" t="str">
        <f aca="false">IF($A71="","",IF($Y71&lt;&gt;1,"INCOMPLET",IF(NOT(ISNUMBER($AM71)),"SANS RÉF. MARCHÉ",IF($AM71&lt;=Paramètres!$B$12,"OK",IF(AND($AO71&gt;=Paramètres!$B$15,$AN71&gt;=Paramètres!$B$16),"À REVOIR","NON RENTABLE")))))</f>
        <v/>
      </c>
      <c r="AQ71" s="18" t="str">
        <f aca="false">TRIM(IF(AND($Y71=1,ISNUMBER($N71)),IF($M71&lt;$N71,"MOQ ",""),"")&amp;IF(AND($Y71=1,ISNUMBER($O71)),IF($O71&lt;$I71*$M71,"DISPO ",""),"")&amp;IF($S71="O","FICTIF ","")&amp;IF($Y71=1,IF(AND($K71="TTC",$W71&lt;&gt;"CH"),"TVA-ÉTRANGÈRE ",""),""))</f>
        <v/>
      </c>
      <c r="AR71" s="18" t="str">
        <f aca="false">IF($Y71=1,COUNTIFS($A$6:$A$205,$A71,$AK$6:$AK$205,"&lt;"&amp;$AK71,$Y$6:$Y$205,1)+1,"")</f>
        <v/>
      </c>
      <c r="AS71" s="18" t="str">
        <f aca="false">IF(ISNUMBER($AR71),$A71&amp;"|"&amp;$AR71,"")</f>
        <v/>
      </c>
      <c r="AT71" s="27" t="str">
        <f aca="false">IF($Y71=1,$AK71*$I71*$M71,"")</f>
        <v/>
      </c>
    </row>
    <row r="72" customFormat="false" ht="15" hidden="false" customHeight="false" outlineLevel="0" collapsed="false">
      <c r="A72" s="9"/>
      <c r="B72" s="9"/>
      <c r="C72" s="9"/>
      <c r="D72" s="9"/>
      <c r="E72" s="9"/>
      <c r="F72" s="9"/>
      <c r="G72" s="9"/>
      <c r="H72" s="9"/>
      <c r="I72" s="9"/>
      <c r="J72" s="13"/>
      <c r="K72" s="9"/>
      <c r="L72" s="12"/>
      <c r="M72" s="9"/>
      <c r="N72" s="9"/>
      <c r="O72" s="9"/>
      <c r="P72" s="9"/>
      <c r="Q72" s="16"/>
      <c r="R72" s="13"/>
      <c r="S72" s="9"/>
      <c r="T72" s="18" t="str">
        <f aca="false">IF($C72="","",IFERROR(INDEX(Fournisseurs!$C$5:$C$24,MATCH($C72,Fournisseurs!$A$5:$A$24,0)),""))</f>
        <v/>
      </c>
      <c r="U72" s="25" t="str">
        <f aca="false">IF($C72="","",IFERROR(INDEX(Fournisseurs!$D$5:$D$24,MATCH($C72,Fournisseurs!$A$5:$A$24,0)),""))</f>
        <v/>
      </c>
      <c r="V72" s="26" t="str">
        <f aca="false">IF($C72="","",IFERROR(INDEX(Fournisseurs!$G$5:$G$24,MATCH($C72,Fournisseurs!$A$5:$A$24,0)),""))</f>
        <v/>
      </c>
      <c r="W72" s="18" t="str">
        <f aca="false">IF($C72="","",IFERROR(INDEX(Fournisseurs!$H$5:$H$24,MATCH($C72,Fournisseurs!$A$5:$A$24,0)),""))</f>
        <v/>
      </c>
      <c r="X72" s="18" t="str">
        <f aca="false">IF($C72="","",IFERROR(INDEX(Fournisseurs!$B$5:$B$24,MATCH($C72,Fournisseurs!$A$5:$A$24,0)),""))</f>
        <v/>
      </c>
      <c r="Y72" s="18" t="str">
        <f aca="false">IF($A72="","",IF(AND($A72&lt;&gt;"",$C72&lt;&gt;"",ISNUMBER($I72),ISNUMBER($J72),ISNUMBER($M72)),IF(AND($I72&gt;=1,$J72&gt;0,OR($K72="HT",$K72="TTC"),$M72&gt;=1,IFERROR(INDEX(Fournisseurs!$T$5:$T$24,MATCH($C72,Fournisseurs!$A$5:$A$24,0)),0)=1),1,0),0))</f>
        <v/>
      </c>
      <c r="Z72" s="27" t="str">
        <f aca="false">IF($Y72=1,$J72*(1-N($L72)),"")</f>
        <v/>
      </c>
      <c r="AA72" s="28" t="str">
        <f aca="false">IF($Y72=1,IF($K72="TTC",$Z72/(1+$V72),$Z72),"")</f>
        <v/>
      </c>
      <c r="AB72" s="28" t="str">
        <f aca="false">IF($Y72=1,IF($K72="TTC",$Z72-$AA72,$AA72*$V72),"")</f>
        <v/>
      </c>
      <c r="AC72" s="27" t="str">
        <f aca="false">IF($Y72=1,$AA72*$U72*$M72,"")</f>
        <v/>
      </c>
      <c r="AD72" s="26" t="str">
        <f aca="false">IF($Y72=1,$AC72/SUMIFS($AC$6:$AC$205,$C$6:$C$205,$C72,$Y$6:$Y$205,1),"")</f>
        <v/>
      </c>
      <c r="AE72" s="28" t="str">
        <f aca="false">IF($Y72=1,(INDEX(Fournisseurs!$J$5:$J$24,MATCH($C72,Fournisseurs!$A$5:$A$24,0))+INDEX(Fournisseurs!$K$5:$K$24,MATCH($C72,Fournisseurs!$A$5:$A$24,0)))*$U72*$AD72/($I72*$M72),"")</f>
        <v/>
      </c>
      <c r="AF72" s="28" t="str">
        <f aca="false">IF($Y72=1,INDEX(Fournisseurs!$L$5:$L$24,MATCH($C72,Fournisseurs!$A$5:$A$24,0))*$AD72/($I72*$M72),"")</f>
        <v/>
      </c>
      <c r="AG72" s="28" t="str">
        <f aca="false">IF($Y72=1,$AA72*$U72/$I72,"")</f>
        <v/>
      </c>
      <c r="AH72" s="28" t="str">
        <f aca="false">IF($Y72=1,$AB72*$U72/$I72,"")</f>
        <v/>
      </c>
      <c r="AI72" s="18" t="str">
        <f aca="false">IF($Y72=1,IF(AND(Paramètres!$B$4="EFFECTIVE",$W72="CH",$AB72&gt;0),1,0),"")</f>
        <v/>
      </c>
      <c r="AJ72" s="28" t="str">
        <f aca="false">IF($Y72=1,IF($X72&lt;&gt;"CH",($AG72+$AE72+$AF72)*Paramètres!$B$14,0),"")</f>
        <v/>
      </c>
      <c r="AK72" s="29" t="str">
        <f aca="false">IF($Y72=1,$AG72+IF($AI72=1,0,$AH72)+$AE72+$AF72+IF(Paramètres!$B$4="NOT_REGISTERED",$AJ72,0),"")</f>
        <v/>
      </c>
      <c r="AL72" s="27" t="str">
        <f aca="false">IF($Y72=1,($AK72+Paramètres!$B$7+Paramètres!$B$8+Paramètres!$B$9+Paramètres!$B$10)/((1-Paramètres!$B$11)/(1+Paramètres!$B$5)-Paramètres!$B$6),"")</f>
        <v/>
      </c>
      <c r="AM72" s="26" t="str">
        <f aca="false">IF(AND($Y72=1,ISNUMBER($R72)),IF($R72&gt;0,$AL72/$R72-1,""),"")</f>
        <v/>
      </c>
      <c r="AN72" s="27" t="str">
        <f aca="false">IF(AND($Y72=1,ISNUMBER($R72)),IF($R72&gt;0,$R72/(1+Paramètres!$B$5)-$AK72-($R72*Paramètres!$B$6+Paramètres!$B$7)-Paramètres!$B$8-Paramètres!$B$9-Paramètres!$B$10,""),"")</f>
        <v/>
      </c>
      <c r="AO72" s="26" t="str">
        <f aca="false">IF(ISNUMBER($AN72),$AN72/($R72/(1+Paramètres!$B$5)),"")</f>
        <v/>
      </c>
      <c r="AP72" s="30" t="str">
        <f aca="false">IF($A72="","",IF($Y72&lt;&gt;1,"INCOMPLET",IF(NOT(ISNUMBER($AM72)),"SANS RÉF. MARCHÉ",IF($AM72&lt;=Paramètres!$B$12,"OK",IF(AND($AO72&gt;=Paramètres!$B$15,$AN72&gt;=Paramètres!$B$16),"À REVOIR","NON RENTABLE")))))</f>
        <v/>
      </c>
      <c r="AQ72" s="18" t="str">
        <f aca="false">TRIM(IF(AND($Y72=1,ISNUMBER($N72)),IF($M72&lt;$N72,"MOQ ",""),"")&amp;IF(AND($Y72=1,ISNUMBER($O72)),IF($O72&lt;$I72*$M72,"DISPO ",""),"")&amp;IF($S72="O","FICTIF ","")&amp;IF($Y72=1,IF(AND($K72="TTC",$W72&lt;&gt;"CH"),"TVA-ÉTRANGÈRE ",""),""))</f>
        <v/>
      </c>
      <c r="AR72" s="18" t="str">
        <f aca="false">IF($Y72=1,COUNTIFS($A$6:$A$205,$A72,$AK$6:$AK$205,"&lt;"&amp;$AK72,$Y$6:$Y$205,1)+1,"")</f>
        <v/>
      </c>
      <c r="AS72" s="18" t="str">
        <f aca="false">IF(ISNUMBER($AR72),$A72&amp;"|"&amp;$AR72,"")</f>
        <v/>
      </c>
      <c r="AT72" s="27" t="str">
        <f aca="false">IF($Y72=1,$AK72*$I72*$M72,"")</f>
        <v/>
      </c>
    </row>
    <row r="73" customFormat="false" ht="15" hidden="false" customHeight="false" outlineLevel="0" collapsed="false">
      <c r="A73" s="9"/>
      <c r="B73" s="9"/>
      <c r="C73" s="9"/>
      <c r="D73" s="9"/>
      <c r="E73" s="9"/>
      <c r="F73" s="9"/>
      <c r="G73" s="9"/>
      <c r="H73" s="9"/>
      <c r="I73" s="9"/>
      <c r="J73" s="13"/>
      <c r="K73" s="9"/>
      <c r="L73" s="12"/>
      <c r="M73" s="9"/>
      <c r="N73" s="9"/>
      <c r="O73" s="9"/>
      <c r="P73" s="9"/>
      <c r="Q73" s="16"/>
      <c r="R73" s="13"/>
      <c r="S73" s="9"/>
      <c r="T73" s="18" t="str">
        <f aca="false">IF($C73="","",IFERROR(INDEX(Fournisseurs!$C$5:$C$24,MATCH($C73,Fournisseurs!$A$5:$A$24,0)),""))</f>
        <v/>
      </c>
      <c r="U73" s="25" t="str">
        <f aca="false">IF($C73="","",IFERROR(INDEX(Fournisseurs!$D$5:$D$24,MATCH($C73,Fournisseurs!$A$5:$A$24,0)),""))</f>
        <v/>
      </c>
      <c r="V73" s="26" t="str">
        <f aca="false">IF($C73="","",IFERROR(INDEX(Fournisseurs!$G$5:$G$24,MATCH($C73,Fournisseurs!$A$5:$A$24,0)),""))</f>
        <v/>
      </c>
      <c r="W73" s="18" t="str">
        <f aca="false">IF($C73="","",IFERROR(INDEX(Fournisseurs!$H$5:$H$24,MATCH($C73,Fournisseurs!$A$5:$A$24,0)),""))</f>
        <v/>
      </c>
      <c r="X73" s="18" t="str">
        <f aca="false">IF($C73="","",IFERROR(INDEX(Fournisseurs!$B$5:$B$24,MATCH($C73,Fournisseurs!$A$5:$A$24,0)),""))</f>
        <v/>
      </c>
      <c r="Y73" s="18" t="str">
        <f aca="false">IF($A73="","",IF(AND($A73&lt;&gt;"",$C73&lt;&gt;"",ISNUMBER($I73),ISNUMBER($J73),ISNUMBER($M73)),IF(AND($I73&gt;=1,$J73&gt;0,OR($K73="HT",$K73="TTC"),$M73&gt;=1,IFERROR(INDEX(Fournisseurs!$T$5:$T$24,MATCH($C73,Fournisseurs!$A$5:$A$24,0)),0)=1),1,0),0))</f>
        <v/>
      </c>
      <c r="Z73" s="27" t="str">
        <f aca="false">IF($Y73=1,$J73*(1-N($L73)),"")</f>
        <v/>
      </c>
      <c r="AA73" s="28" t="str">
        <f aca="false">IF($Y73=1,IF($K73="TTC",$Z73/(1+$V73),$Z73),"")</f>
        <v/>
      </c>
      <c r="AB73" s="28" t="str">
        <f aca="false">IF($Y73=1,IF($K73="TTC",$Z73-$AA73,$AA73*$V73),"")</f>
        <v/>
      </c>
      <c r="AC73" s="27" t="str">
        <f aca="false">IF($Y73=1,$AA73*$U73*$M73,"")</f>
        <v/>
      </c>
      <c r="AD73" s="26" t="str">
        <f aca="false">IF($Y73=1,$AC73/SUMIFS($AC$6:$AC$205,$C$6:$C$205,$C73,$Y$6:$Y$205,1),"")</f>
        <v/>
      </c>
      <c r="AE73" s="28" t="str">
        <f aca="false">IF($Y73=1,(INDEX(Fournisseurs!$J$5:$J$24,MATCH($C73,Fournisseurs!$A$5:$A$24,0))+INDEX(Fournisseurs!$K$5:$K$24,MATCH($C73,Fournisseurs!$A$5:$A$24,0)))*$U73*$AD73/($I73*$M73),"")</f>
        <v/>
      </c>
      <c r="AF73" s="28" t="str">
        <f aca="false">IF($Y73=1,INDEX(Fournisseurs!$L$5:$L$24,MATCH($C73,Fournisseurs!$A$5:$A$24,0))*$AD73/($I73*$M73),"")</f>
        <v/>
      </c>
      <c r="AG73" s="28" t="str">
        <f aca="false">IF($Y73=1,$AA73*$U73/$I73,"")</f>
        <v/>
      </c>
      <c r="AH73" s="28" t="str">
        <f aca="false">IF($Y73=1,$AB73*$U73/$I73,"")</f>
        <v/>
      </c>
      <c r="AI73" s="18" t="str">
        <f aca="false">IF($Y73=1,IF(AND(Paramètres!$B$4="EFFECTIVE",$W73="CH",$AB73&gt;0),1,0),"")</f>
        <v/>
      </c>
      <c r="AJ73" s="28" t="str">
        <f aca="false">IF($Y73=1,IF($X73&lt;&gt;"CH",($AG73+$AE73+$AF73)*Paramètres!$B$14,0),"")</f>
        <v/>
      </c>
      <c r="AK73" s="29" t="str">
        <f aca="false">IF($Y73=1,$AG73+IF($AI73=1,0,$AH73)+$AE73+$AF73+IF(Paramètres!$B$4="NOT_REGISTERED",$AJ73,0),"")</f>
        <v/>
      </c>
      <c r="AL73" s="27" t="str">
        <f aca="false">IF($Y73=1,($AK73+Paramètres!$B$7+Paramètres!$B$8+Paramètres!$B$9+Paramètres!$B$10)/((1-Paramètres!$B$11)/(1+Paramètres!$B$5)-Paramètres!$B$6),"")</f>
        <v/>
      </c>
      <c r="AM73" s="26" t="str">
        <f aca="false">IF(AND($Y73=1,ISNUMBER($R73)),IF($R73&gt;0,$AL73/$R73-1,""),"")</f>
        <v/>
      </c>
      <c r="AN73" s="27" t="str">
        <f aca="false">IF(AND($Y73=1,ISNUMBER($R73)),IF($R73&gt;0,$R73/(1+Paramètres!$B$5)-$AK73-($R73*Paramètres!$B$6+Paramètres!$B$7)-Paramètres!$B$8-Paramètres!$B$9-Paramètres!$B$10,""),"")</f>
        <v/>
      </c>
      <c r="AO73" s="26" t="str">
        <f aca="false">IF(ISNUMBER($AN73),$AN73/($R73/(1+Paramètres!$B$5)),"")</f>
        <v/>
      </c>
      <c r="AP73" s="30" t="str">
        <f aca="false">IF($A73="","",IF($Y73&lt;&gt;1,"INCOMPLET",IF(NOT(ISNUMBER($AM73)),"SANS RÉF. MARCHÉ",IF($AM73&lt;=Paramètres!$B$12,"OK",IF(AND($AO73&gt;=Paramètres!$B$15,$AN73&gt;=Paramètres!$B$16),"À REVOIR","NON RENTABLE")))))</f>
        <v/>
      </c>
      <c r="AQ73" s="18" t="str">
        <f aca="false">TRIM(IF(AND($Y73=1,ISNUMBER($N73)),IF($M73&lt;$N73,"MOQ ",""),"")&amp;IF(AND($Y73=1,ISNUMBER($O73)),IF($O73&lt;$I73*$M73,"DISPO ",""),"")&amp;IF($S73="O","FICTIF ","")&amp;IF($Y73=1,IF(AND($K73="TTC",$W73&lt;&gt;"CH"),"TVA-ÉTRANGÈRE ",""),""))</f>
        <v/>
      </c>
      <c r="AR73" s="18" t="str">
        <f aca="false">IF($Y73=1,COUNTIFS($A$6:$A$205,$A73,$AK$6:$AK$205,"&lt;"&amp;$AK73,$Y$6:$Y$205,1)+1,"")</f>
        <v/>
      </c>
      <c r="AS73" s="18" t="str">
        <f aca="false">IF(ISNUMBER($AR73),$A73&amp;"|"&amp;$AR73,"")</f>
        <v/>
      </c>
      <c r="AT73" s="27" t="str">
        <f aca="false">IF($Y73=1,$AK73*$I73*$M73,"")</f>
        <v/>
      </c>
    </row>
    <row r="74" customFormat="false" ht="15" hidden="false" customHeight="false" outlineLevel="0" collapsed="false">
      <c r="A74" s="9"/>
      <c r="B74" s="9"/>
      <c r="C74" s="9"/>
      <c r="D74" s="9"/>
      <c r="E74" s="9"/>
      <c r="F74" s="9"/>
      <c r="G74" s="9"/>
      <c r="H74" s="9"/>
      <c r="I74" s="9"/>
      <c r="J74" s="13"/>
      <c r="K74" s="9"/>
      <c r="L74" s="12"/>
      <c r="M74" s="9"/>
      <c r="N74" s="9"/>
      <c r="O74" s="9"/>
      <c r="P74" s="9"/>
      <c r="Q74" s="16"/>
      <c r="R74" s="13"/>
      <c r="S74" s="9"/>
      <c r="T74" s="18" t="str">
        <f aca="false">IF($C74="","",IFERROR(INDEX(Fournisseurs!$C$5:$C$24,MATCH($C74,Fournisseurs!$A$5:$A$24,0)),""))</f>
        <v/>
      </c>
      <c r="U74" s="25" t="str">
        <f aca="false">IF($C74="","",IFERROR(INDEX(Fournisseurs!$D$5:$D$24,MATCH($C74,Fournisseurs!$A$5:$A$24,0)),""))</f>
        <v/>
      </c>
      <c r="V74" s="26" t="str">
        <f aca="false">IF($C74="","",IFERROR(INDEX(Fournisseurs!$G$5:$G$24,MATCH($C74,Fournisseurs!$A$5:$A$24,0)),""))</f>
        <v/>
      </c>
      <c r="W74" s="18" t="str">
        <f aca="false">IF($C74="","",IFERROR(INDEX(Fournisseurs!$H$5:$H$24,MATCH($C74,Fournisseurs!$A$5:$A$24,0)),""))</f>
        <v/>
      </c>
      <c r="X74" s="18" t="str">
        <f aca="false">IF($C74="","",IFERROR(INDEX(Fournisseurs!$B$5:$B$24,MATCH($C74,Fournisseurs!$A$5:$A$24,0)),""))</f>
        <v/>
      </c>
      <c r="Y74" s="18" t="str">
        <f aca="false">IF($A74="","",IF(AND($A74&lt;&gt;"",$C74&lt;&gt;"",ISNUMBER($I74),ISNUMBER($J74),ISNUMBER($M74)),IF(AND($I74&gt;=1,$J74&gt;0,OR($K74="HT",$K74="TTC"),$M74&gt;=1,IFERROR(INDEX(Fournisseurs!$T$5:$T$24,MATCH($C74,Fournisseurs!$A$5:$A$24,0)),0)=1),1,0),0))</f>
        <v/>
      </c>
      <c r="Z74" s="27" t="str">
        <f aca="false">IF($Y74=1,$J74*(1-N($L74)),"")</f>
        <v/>
      </c>
      <c r="AA74" s="28" t="str">
        <f aca="false">IF($Y74=1,IF($K74="TTC",$Z74/(1+$V74),$Z74),"")</f>
        <v/>
      </c>
      <c r="AB74" s="28" t="str">
        <f aca="false">IF($Y74=1,IF($K74="TTC",$Z74-$AA74,$AA74*$V74),"")</f>
        <v/>
      </c>
      <c r="AC74" s="27" t="str">
        <f aca="false">IF($Y74=1,$AA74*$U74*$M74,"")</f>
        <v/>
      </c>
      <c r="AD74" s="26" t="str">
        <f aca="false">IF($Y74=1,$AC74/SUMIFS($AC$6:$AC$205,$C$6:$C$205,$C74,$Y$6:$Y$205,1),"")</f>
        <v/>
      </c>
      <c r="AE74" s="28" t="str">
        <f aca="false">IF($Y74=1,(INDEX(Fournisseurs!$J$5:$J$24,MATCH($C74,Fournisseurs!$A$5:$A$24,0))+INDEX(Fournisseurs!$K$5:$K$24,MATCH($C74,Fournisseurs!$A$5:$A$24,0)))*$U74*$AD74/($I74*$M74),"")</f>
        <v/>
      </c>
      <c r="AF74" s="28" t="str">
        <f aca="false">IF($Y74=1,INDEX(Fournisseurs!$L$5:$L$24,MATCH($C74,Fournisseurs!$A$5:$A$24,0))*$AD74/($I74*$M74),"")</f>
        <v/>
      </c>
      <c r="AG74" s="28" t="str">
        <f aca="false">IF($Y74=1,$AA74*$U74/$I74,"")</f>
        <v/>
      </c>
      <c r="AH74" s="28" t="str">
        <f aca="false">IF($Y74=1,$AB74*$U74/$I74,"")</f>
        <v/>
      </c>
      <c r="AI74" s="18" t="str">
        <f aca="false">IF($Y74=1,IF(AND(Paramètres!$B$4="EFFECTIVE",$W74="CH",$AB74&gt;0),1,0),"")</f>
        <v/>
      </c>
      <c r="AJ74" s="28" t="str">
        <f aca="false">IF($Y74=1,IF($X74&lt;&gt;"CH",($AG74+$AE74+$AF74)*Paramètres!$B$14,0),"")</f>
        <v/>
      </c>
      <c r="AK74" s="29" t="str">
        <f aca="false">IF($Y74=1,$AG74+IF($AI74=1,0,$AH74)+$AE74+$AF74+IF(Paramètres!$B$4="NOT_REGISTERED",$AJ74,0),"")</f>
        <v/>
      </c>
      <c r="AL74" s="27" t="str">
        <f aca="false">IF($Y74=1,($AK74+Paramètres!$B$7+Paramètres!$B$8+Paramètres!$B$9+Paramètres!$B$10)/((1-Paramètres!$B$11)/(1+Paramètres!$B$5)-Paramètres!$B$6),"")</f>
        <v/>
      </c>
      <c r="AM74" s="26" t="str">
        <f aca="false">IF(AND($Y74=1,ISNUMBER($R74)),IF($R74&gt;0,$AL74/$R74-1,""),"")</f>
        <v/>
      </c>
      <c r="AN74" s="27" t="str">
        <f aca="false">IF(AND($Y74=1,ISNUMBER($R74)),IF($R74&gt;0,$R74/(1+Paramètres!$B$5)-$AK74-($R74*Paramètres!$B$6+Paramètres!$B$7)-Paramètres!$B$8-Paramètres!$B$9-Paramètres!$B$10,""),"")</f>
        <v/>
      </c>
      <c r="AO74" s="26" t="str">
        <f aca="false">IF(ISNUMBER($AN74),$AN74/($R74/(1+Paramètres!$B$5)),"")</f>
        <v/>
      </c>
      <c r="AP74" s="30" t="str">
        <f aca="false">IF($A74="","",IF($Y74&lt;&gt;1,"INCOMPLET",IF(NOT(ISNUMBER($AM74)),"SANS RÉF. MARCHÉ",IF($AM74&lt;=Paramètres!$B$12,"OK",IF(AND($AO74&gt;=Paramètres!$B$15,$AN74&gt;=Paramètres!$B$16),"À REVOIR","NON RENTABLE")))))</f>
        <v/>
      </c>
      <c r="AQ74" s="18" t="str">
        <f aca="false">TRIM(IF(AND($Y74=1,ISNUMBER($N74)),IF($M74&lt;$N74,"MOQ ",""),"")&amp;IF(AND($Y74=1,ISNUMBER($O74)),IF($O74&lt;$I74*$M74,"DISPO ",""),"")&amp;IF($S74="O","FICTIF ","")&amp;IF($Y74=1,IF(AND($K74="TTC",$W74&lt;&gt;"CH"),"TVA-ÉTRANGÈRE ",""),""))</f>
        <v/>
      </c>
      <c r="AR74" s="18" t="str">
        <f aca="false">IF($Y74=1,COUNTIFS($A$6:$A$205,$A74,$AK$6:$AK$205,"&lt;"&amp;$AK74,$Y$6:$Y$205,1)+1,"")</f>
        <v/>
      </c>
      <c r="AS74" s="18" t="str">
        <f aca="false">IF(ISNUMBER($AR74),$A74&amp;"|"&amp;$AR74,"")</f>
        <v/>
      </c>
      <c r="AT74" s="27" t="str">
        <f aca="false">IF($Y74=1,$AK74*$I74*$M74,"")</f>
        <v/>
      </c>
    </row>
    <row r="75" customFormat="false" ht="15" hidden="false" customHeight="false" outlineLevel="0" collapsed="false">
      <c r="A75" s="9"/>
      <c r="B75" s="9"/>
      <c r="C75" s="9"/>
      <c r="D75" s="9"/>
      <c r="E75" s="9"/>
      <c r="F75" s="9"/>
      <c r="G75" s="9"/>
      <c r="H75" s="9"/>
      <c r="I75" s="9"/>
      <c r="J75" s="13"/>
      <c r="K75" s="9"/>
      <c r="L75" s="12"/>
      <c r="M75" s="9"/>
      <c r="N75" s="9"/>
      <c r="O75" s="9"/>
      <c r="P75" s="9"/>
      <c r="Q75" s="16"/>
      <c r="R75" s="13"/>
      <c r="S75" s="9"/>
      <c r="T75" s="18" t="str">
        <f aca="false">IF($C75="","",IFERROR(INDEX(Fournisseurs!$C$5:$C$24,MATCH($C75,Fournisseurs!$A$5:$A$24,0)),""))</f>
        <v/>
      </c>
      <c r="U75" s="25" t="str">
        <f aca="false">IF($C75="","",IFERROR(INDEX(Fournisseurs!$D$5:$D$24,MATCH($C75,Fournisseurs!$A$5:$A$24,0)),""))</f>
        <v/>
      </c>
      <c r="V75" s="26" t="str">
        <f aca="false">IF($C75="","",IFERROR(INDEX(Fournisseurs!$G$5:$G$24,MATCH($C75,Fournisseurs!$A$5:$A$24,0)),""))</f>
        <v/>
      </c>
      <c r="W75" s="18" t="str">
        <f aca="false">IF($C75="","",IFERROR(INDEX(Fournisseurs!$H$5:$H$24,MATCH($C75,Fournisseurs!$A$5:$A$24,0)),""))</f>
        <v/>
      </c>
      <c r="X75" s="18" t="str">
        <f aca="false">IF($C75="","",IFERROR(INDEX(Fournisseurs!$B$5:$B$24,MATCH($C75,Fournisseurs!$A$5:$A$24,0)),""))</f>
        <v/>
      </c>
      <c r="Y75" s="18" t="str">
        <f aca="false">IF($A75="","",IF(AND($A75&lt;&gt;"",$C75&lt;&gt;"",ISNUMBER($I75),ISNUMBER($J75),ISNUMBER($M75)),IF(AND($I75&gt;=1,$J75&gt;0,OR($K75="HT",$K75="TTC"),$M75&gt;=1,IFERROR(INDEX(Fournisseurs!$T$5:$T$24,MATCH($C75,Fournisseurs!$A$5:$A$24,0)),0)=1),1,0),0))</f>
        <v/>
      </c>
      <c r="Z75" s="27" t="str">
        <f aca="false">IF($Y75=1,$J75*(1-N($L75)),"")</f>
        <v/>
      </c>
      <c r="AA75" s="28" t="str">
        <f aca="false">IF($Y75=1,IF($K75="TTC",$Z75/(1+$V75),$Z75),"")</f>
        <v/>
      </c>
      <c r="AB75" s="28" t="str">
        <f aca="false">IF($Y75=1,IF($K75="TTC",$Z75-$AA75,$AA75*$V75),"")</f>
        <v/>
      </c>
      <c r="AC75" s="27" t="str">
        <f aca="false">IF($Y75=1,$AA75*$U75*$M75,"")</f>
        <v/>
      </c>
      <c r="AD75" s="26" t="str">
        <f aca="false">IF($Y75=1,$AC75/SUMIFS($AC$6:$AC$205,$C$6:$C$205,$C75,$Y$6:$Y$205,1),"")</f>
        <v/>
      </c>
      <c r="AE75" s="28" t="str">
        <f aca="false">IF($Y75=1,(INDEX(Fournisseurs!$J$5:$J$24,MATCH($C75,Fournisseurs!$A$5:$A$24,0))+INDEX(Fournisseurs!$K$5:$K$24,MATCH($C75,Fournisseurs!$A$5:$A$24,0)))*$U75*$AD75/($I75*$M75),"")</f>
        <v/>
      </c>
      <c r="AF75" s="28" t="str">
        <f aca="false">IF($Y75=1,INDEX(Fournisseurs!$L$5:$L$24,MATCH($C75,Fournisseurs!$A$5:$A$24,0))*$AD75/($I75*$M75),"")</f>
        <v/>
      </c>
      <c r="AG75" s="28" t="str">
        <f aca="false">IF($Y75=1,$AA75*$U75/$I75,"")</f>
        <v/>
      </c>
      <c r="AH75" s="28" t="str">
        <f aca="false">IF($Y75=1,$AB75*$U75/$I75,"")</f>
        <v/>
      </c>
      <c r="AI75" s="18" t="str">
        <f aca="false">IF($Y75=1,IF(AND(Paramètres!$B$4="EFFECTIVE",$W75="CH",$AB75&gt;0),1,0),"")</f>
        <v/>
      </c>
      <c r="AJ75" s="28" t="str">
        <f aca="false">IF($Y75=1,IF($X75&lt;&gt;"CH",($AG75+$AE75+$AF75)*Paramètres!$B$14,0),"")</f>
        <v/>
      </c>
      <c r="AK75" s="29" t="str">
        <f aca="false">IF($Y75=1,$AG75+IF($AI75=1,0,$AH75)+$AE75+$AF75+IF(Paramètres!$B$4="NOT_REGISTERED",$AJ75,0),"")</f>
        <v/>
      </c>
      <c r="AL75" s="27" t="str">
        <f aca="false">IF($Y75=1,($AK75+Paramètres!$B$7+Paramètres!$B$8+Paramètres!$B$9+Paramètres!$B$10)/((1-Paramètres!$B$11)/(1+Paramètres!$B$5)-Paramètres!$B$6),"")</f>
        <v/>
      </c>
      <c r="AM75" s="26" t="str">
        <f aca="false">IF(AND($Y75=1,ISNUMBER($R75)),IF($R75&gt;0,$AL75/$R75-1,""),"")</f>
        <v/>
      </c>
      <c r="AN75" s="27" t="str">
        <f aca="false">IF(AND($Y75=1,ISNUMBER($R75)),IF($R75&gt;0,$R75/(1+Paramètres!$B$5)-$AK75-($R75*Paramètres!$B$6+Paramètres!$B$7)-Paramètres!$B$8-Paramètres!$B$9-Paramètres!$B$10,""),"")</f>
        <v/>
      </c>
      <c r="AO75" s="26" t="str">
        <f aca="false">IF(ISNUMBER($AN75),$AN75/($R75/(1+Paramètres!$B$5)),"")</f>
        <v/>
      </c>
      <c r="AP75" s="30" t="str">
        <f aca="false">IF($A75="","",IF($Y75&lt;&gt;1,"INCOMPLET",IF(NOT(ISNUMBER($AM75)),"SANS RÉF. MARCHÉ",IF($AM75&lt;=Paramètres!$B$12,"OK",IF(AND($AO75&gt;=Paramètres!$B$15,$AN75&gt;=Paramètres!$B$16),"À REVOIR","NON RENTABLE")))))</f>
        <v/>
      </c>
      <c r="AQ75" s="18" t="str">
        <f aca="false">TRIM(IF(AND($Y75=1,ISNUMBER($N75)),IF($M75&lt;$N75,"MOQ ",""),"")&amp;IF(AND($Y75=1,ISNUMBER($O75)),IF($O75&lt;$I75*$M75,"DISPO ",""),"")&amp;IF($S75="O","FICTIF ","")&amp;IF($Y75=1,IF(AND($K75="TTC",$W75&lt;&gt;"CH"),"TVA-ÉTRANGÈRE ",""),""))</f>
        <v/>
      </c>
      <c r="AR75" s="18" t="str">
        <f aca="false">IF($Y75=1,COUNTIFS($A$6:$A$205,$A75,$AK$6:$AK$205,"&lt;"&amp;$AK75,$Y$6:$Y$205,1)+1,"")</f>
        <v/>
      </c>
      <c r="AS75" s="18" t="str">
        <f aca="false">IF(ISNUMBER($AR75),$A75&amp;"|"&amp;$AR75,"")</f>
        <v/>
      </c>
      <c r="AT75" s="27" t="str">
        <f aca="false">IF($Y75=1,$AK75*$I75*$M75,"")</f>
        <v/>
      </c>
    </row>
    <row r="76" customFormat="false" ht="15" hidden="false" customHeight="false" outlineLevel="0" collapsed="false">
      <c r="A76" s="9"/>
      <c r="B76" s="9"/>
      <c r="C76" s="9"/>
      <c r="D76" s="9"/>
      <c r="E76" s="9"/>
      <c r="F76" s="9"/>
      <c r="G76" s="9"/>
      <c r="H76" s="9"/>
      <c r="I76" s="9"/>
      <c r="J76" s="13"/>
      <c r="K76" s="9"/>
      <c r="L76" s="12"/>
      <c r="M76" s="9"/>
      <c r="N76" s="9"/>
      <c r="O76" s="9"/>
      <c r="P76" s="9"/>
      <c r="Q76" s="16"/>
      <c r="R76" s="13"/>
      <c r="S76" s="9"/>
      <c r="T76" s="18" t="str">
        <f aca="false">IF($C76="","",IFERROR(INDEX(Fournisseurs!$C$5:$C$24,MATCH($C76,Fournisseurs!$A$5:$A$24,0)),""))</f>
        <v/>
      </c>
      <c r="U76" s="25" t="str">
        <f aca="false">IF($C76="","",IFERROR(INDEX(Fournisseurs!$D$5:$D$24,MATCH($C76,Fournisseurs!$A$5:$A$24,0)),""))</f>
        <v/>
      </c>
      <c r="V76" s="26" t="str">
        <f aca="false">IF($C76="","",IFERROR(INDEX(Fournisseurs!$G$5:$G$24,MATCH($C76,Fournisseurs!$A$5:$A$24,0)),""))</f>
        <v/>
      </c>
      <c r="W76" s="18" t="str">
        <f aca="false">IF($C76="","",IFERROR(INDEX(Fournisseurs!$H$5:$H$24,MATCH($C76,Fournisseurs!$A$5:$A$24,0)),""))</f>
        <v/>
      </c>
      <c r="X76" s="18" t="str">
        <f aca="false">IF($C76="","",IFERROR(INDEX(Fournisseurs!$B$5:$B$24,MATCH($C76,Fournisseurs!$A$5:$A$24,0)),""))</f>
        <v/>
      </c>
      <c r="Y76" s="18" t="str">
        <f aca="false">IF($A76="","",IF(AND($A76&lt;&gt;"",$C76&lt;&gt;"",ISNUMBER($I76),ISNUMBER($J76),ISNUMBER($M76)),IF(AND($I76&gt;=1,$J76&gt;0,OR($K76="HT",$K76="TTC"),$M76&gt;=1,IFERROR(INDEX(Fournisseurs!$T$5:$T$24,MATCH($C76,Fournisseurs!$A$5:$A$24,0)),0)=1),1,0),0))</f>
        <v/>
      </c>
      <c r="Z76" s="27" t="str">
        <f aca="false">IF($Y76=1,$J76*(1-N($L76)),"")</f>
        <v/>
      </c>
      <c r="AA76" s="28" t="str">
        <f aca="false">IF($Y76=1,IF($K76="TTC",$Z76/(1+$V76),$Z76),"")</f>
        <v/>
      </c>
      <c r="AB76" s="28" t="str">
        <f aca="false">IF($Y76=1,IF($K76="TTC",$Z76-$AA76,$AA76*$V76),"")</f>
        <v/>
      </c>
      <c r="AC76" s="27" t="str">
        <f aca="false">IF($Y76=1,$AA76*$U76*$M76,"")</f>
        <v/>
      </c>
      <c r="AD76" s="26" t="str">
        <f aca="false">IF($Y76=1,$AC76/SUMIFS($AC$6:$AC$205,$C$6:$C$205,$C76,$Y$6:$Y$205,1),"")</f>
        <v/>
      </c>
      <c r="AE76" s="28" t="str">
        <f aca="false">IF($Y76=1,(INDEX(Fournisseurs!$J$5:$J$24,MATCH($C76,Fournisseurs!$A$5:$A$24,0))+INDEX(Fournisseurs!$K$5:$K$24,MATCH($C76,Fournisseurs!$A$5:$A$24,0)))*$U76*$AD76/($I76*$M76),"")</f>
        <v/>
      </c>
      <c r="AF76" s="28" t="str">
        <f aca="false">IF($Y76=1,INDEX(Fournisseurs!$L$5:$L$24,MATCH($C76,Fournisseurs!$A$5:$A$24,0))*$AD76/($I76*$M76),"")</f>
        <v/>
      </c>
      <c r="AG76" s="28" t="str">
        <f aca="false">IF($Y76=1,$AA76*$U76/$I76,"")</f>
        <v/>
      </c>
      <c r="AH76" s="28" t="str">
        <f aca="false">IF($Y76=1,$AB76*$U76/$I76,"")</f>
        <v/>
      </c>
      <c r="AI76" s="18" t="str">
        <f aca="false">IF($Y76=1,IF(AND(Paramètres!$B$4="EFFECTIVE",$W76="CH",$AB76&gt;0),1,0),"")</f>
        <v/>
      </c>
      <c r="AJ76" s="28" t="str">
        <f aca="false">IF($Y76=1,IF($X76&lt;&gt;"CH",($AG76+$AE76+$AF76)*Paramètres!$B$14,0),"")</f>
        <v/>
      </c>
      <c r="AK76" s="29" t="str">
        <f aca="false">IF($Y76=1,$AG76+IF($AI76=1,0,$AH76)+$AE76+$AF76+IF(Paramètres!$B$4="NOT_REGISTERED",$AJ76,0),"")</f>
        <v/>
      </c>
      <c r="AL76" s="27" t="str">
        <f aca="false">IF($Y76=1,($AK76+Paramètres!$B$7+Paramètres!$B$8+Paramètres!$B$9+Paramètres!$B$10)/((1-Paramètres!$B$11)/(1+Paramètres!$B$5)-Paramètres!$B$6),"")</f>
        <v/>
      </c>
      <c r="AM76" s="26" t="str">
        <f aca="false">IF(AND($Y76=1,ISNUMBER($R76)),IF($R76&gt;0,$AL76/$R76-1,""),"")</f>
        <v/>
      </c>
      <c r="AN76" s="27" t="str">
        <f aca="false">IF(AND($Y76=1,ISNUMBER($R76)),IF($R76&gt;0,$R76/(1+Paramètres!$B$5)-$AK76-($R76*Paramètres!$B$6+Paramètres!$B$7)-Paramètres!$B$8-Paramètres!$B$9-Paramètres!$B$10,""),"")</f>
        <v/>
      </c>
      <c r="AO76" s="26" t="str">
        <f aca="false">IF(ISNUMBER($AN76),$AN76/($R76/(1+Paramètres!$B$5)),"")</f>
        <v/>
      </c>
      <c r="AP76" s="30" t="str">
        <f aca="false">IF($A76="","",IF($Y76&lt;&gt;1,"INCOMPLET",IF(NOT(ISNUMBER($AM76)),"SANS RÉF. MARCHÉ",IF($AM76&lt;=Paramètres!$B$12,"OK",IF(AND($AO76&gt;=Paramètres!$B$15,$AN76&gt;=Paramètres!$B$16),"À REVOIR","NON RENTABLE")))))</f>
        <v/>
      </c>
      <c r="AQ76" s="18" t="str">
        <f aca="false">TRIM(IF(AND($Y76=1,ISNUMBER($N76)),IF($M76&lt;$N76,"MOQ ",""),"")&amp;IF(AND($Y76=1,ISNUMBER($O76)),IF($O76&lt;$I76*$M76,"DISPO ",""),"")&amp;IF($S76="O","FICTIF ","")&amp;IF($Y76=1,IF(AND($K76="TTC",$W76&lt;&gt;"CH"),"TVA-ÉTRANGÈRE ",""),""))</f>
        <v/>
      </c>
      <c r="AR76" s="18" t="str">
        <f aca="false">IF($Y76=1,COUNTIFS($A$6:$A$205,$A76,$AK$6:$AK$205,"&lt;"&amp;$AK76,$Y$6:$Y$205,1)+1,"")</f>
        <v/>
      </c>
      <c r="AS76" s="18" t="str">
        <f aca="false">IF(ISNUMBER($AR76),$A76&amp;"|"&amp;$AR76,"")</f>
        <v/>
      </c>
      <c r="AT76" s="27" t="str">
        <f aca="false">IF($Y76=1,$AK76*$I76*$M76,"")</f>
        <v/>
      </c>
    </row>
    <row r="77" customFormat="false" ht="15" hidden="false" customHeight="false" outlineLevel="0" collapsed="false">
      <c r="A77" s="9"/>
      <c r="B77" s="9"/>
      <c r="C77" s="9"/>
      <c r="D77" s="9"/>
      <c r="E77" s="9"/>
      <c r="F77" s="9"/>
      <c r="G77" s="9"/>
      <c r="H77" s="9"/>
      <c r="I77" s="9"/>
      <c r="J77" s="13"/>
      <c r="K77" s="9"/>
      <c r="L77" s="12"/>
      <c r="M77" s="9"/>
      <c r="N77" s="9"/>
      <c r="O77" s="9"/>
      <c r="P77" s="9"/>
      <c r="Q77" s="16"/>
      <c r="R77" s="13"/>
      <c r="S77" s="9"/>
      <c r="T77" s="18" t="str">
        <f aca="false">IF($C77="","",IFERROR(INDEX(Fournisseurs!$C$5:$C$24,MATCH($C77,Fournisseurs!$A$5:$A$24,0)),""))</f>
        <v/>
      </c>
      <c r="U77" s="25" t="str">
        <f aca="false">IF($C77="","",IFERROR(INDEX(Fournisseurs!$D$5:$D$24,MATCH($C77,Fournisseurs!$A$5:$A$24,0)),""))</f>
        <v/>
      </c>
      <c r="V77" s="26" t="str">
        <f aca="false">IF($C77="","",IFERROR(INDEX(Fournisseurs!$G$5:$G$24,MATCH($C77,Fournisseurs!$A$5:$A$24,0)),""))</f>
        <v/>
      </c>
      <c r="W77" s="18" t="str">
        <f aca="false">IF($C77="","",IFERROR(INDEX(Fournisseurs!$H$5:$H$24,MATCH($C77,Fournisseurs!$A$5:$A$24,0)),""))</f>
        <v/>
      </c>
      <c r="X77" s="18" t="str">
        <f aca="false">IF($C77="","",IFERROR(INDEX(Fournisseurs!$B$5:$B$24,MATCH($C77,Fournisseurs!$A$5:$A$24,0)),""))</f>
        <v/>
      </c>
      <c r="Y77" s="18" t="str">
        <f aca="false">IF($A77="","",IF(AND($A77&lt;&gt;"",$C77&lt;&gt;"",ISNUMBER($I77),ISNUMBER($J77),ISNUMBER($M77)),IF(AND($I77&gt;=1,$J77&gt;0,OR($K77="HT",$K77="TTC"),$M77&gt;=1,IFERROR(INDEX(Fournisseurs!$T$5:$T$24,MATCH($C77,Fournisseurs!$A$5:$A$24,0)),0)=1),1,0),0))</f>
        <v/>
      </c>
      <c r="Z77" s="27" t="str">
        <f aca="false">IF($Y77=1,$J77*(1-N($L77)),"")</f>
        <v/>
      </c>
      <c r="AA77" s="28" t="str">
        <f aca="false">IF($Y77=1,IF($K77="TTC",$Z77/(1+$V77),$Z77),"")</f>
        <v/>
      </c>
      <c r="AB77" s="28" t="str">
        <f aca="false">IF($Y77=1,IF($K77="TTC",$Z77-$AA77,$AA77*$V77),"")</f>
        <v/>
      </c>
      <c r="AC77" s="27" t="str">
        <f aca="false">IF($Y77=1,$AA77*$U77*$M77,"")</f>
        <v/>
      </c>
      <c r="AD77" s="26" t="str">
        <f aca="false">IF($Y77=1,$AC77/SUMIFS($AC$6:$AC$205,$C$6:$C$205,$C77,$Y$6:$Y$205,1),"")</f>
        <v/>
      </c>
      <c r="AE77" s="28" t="str">
        <f aca="false">IF($Y77=1,(INDEX(Fournisseurs!$J$5:$J$24,MATCH($C77,Fournisseurs!$A$5:$A$24,0))+INDEX(Fournisseurs!$K$5:$K$24,MATCH($C77,Fournisseurs!$A$5:$A$24,0)))*$U77*$AD77/($I77*$M77),"")</f>
        <v/>
      </c>
      <c r="AF77" s="28" t="str">
        <f aca="false">IF($Y77=1,INDEX(Fournisseurs!$L$5:$L$24,MATCH($C77,Fournisseurs!$A$5:$A$24,0))*$AD77/($I77*$M77),"")</f>
        <v/>
      </c>
      <c r="AG77" s="28" t="str">
        <f aca="false">IF($Y77=1,$AA77*$U77/$I77,"")</f>
        <v/>
      </c>
      <c r="AH77" s="28" t="str">
        <f aca="false">IF($Y77=1,$AB77*$U77/$I77,"")</f>
        <v/>
      </c>
      <c r="AI77" s="18" t="str">
        <f aca="false">IF($Y77=1,IF(AND(Paramètres!$B$4="EFFECTIVE",$W77="CH",$AB77&gt;0),1,0),"")</f>
        <v/>
      </c>
      <c r="AJ77" s="28" t="str">
        <f aca="false">IF($Y77=1,IF($X77&lt;&gt;"CH",($AG77+$AE77+$AF77)*Paramètres!$B$14,0),"")</f>
        <v/>
      </c>
      <c r="AK77" s="29" t="str">
        <f aca="false">IF($Y77=1,$AG77+IF($AI77=1,0,$AH77)+$AE77+$AF77+IF(Paramètres!$B$4="NOT_REGISTERED",$AJ77,0),"")</f>
        <v/>
      </c>
      <c r="AL77" s="27" t="str">
        <f aca="false">IF($Y77=1,($AK77+Paramètres!$B$7+Paramètres!$B$8+Paramètres!$B$9+Paramètres!$B$10)/((1-Paramètres!$B$11)/(1+Paramètres!$B$5)-Paramètres!$B$6),"")</f>
        <v/>
      </c>
      <c r="AM77" s="26" t="str">
        <f aca="false">IF(AND($Y77=1,ISNUMBER($R77)),IF($R77&gt;0,$AL77/$R77-1,""),"")</f>
        <v/>
      </c>
      <c r="AN77" s="27" t="str">
        <f aca="false">IF(AND($Y77=1,ISNUMBER($R77)),IF($R77&gt;0,$R77/(1+Paramètres!$B$5)-$AK77-($R77*Paramètres!$B$6+Paramètres!$B$7)-Paramètres!$B$8-Paramètres!$B$9-Paramètres!$B$10,""),"")</f>
        <v/>
      </c>
      <c r="AO77" s="26" t="str">
        <f aca="false">IF(ISNUMBER($AN77),$AN77/($R77/(1+Paramètres!$B$5)),"")</f>
        <v/>
      </c>
      <c r="AP77" s="30" t="str">
        <f aca="false">IF($A77="","",IF($Y77&lt;&gt;1,"INCOMPLET",IF(NOT(ISNUMBER($AM77)),"SANS RÉF. MARCHÉ",IF($AM77&lt;=Paramètres!$B$12,"OK",IF(AND($AO77&gt;=Paramètres!$B$15,$AN77&gt;=Paramètres!$B$16),"À REVOIR","NON RENTABLE")))))</f>
        <v/>
      </c>
      <c r="AQ77" s="18" t="str">
        <f aca="false">TRIM(IF(AND($Y77=1,ISNUMBER($N77)),IF($M77&lt;$N77,"MOQ ",""),"")&amp;IF(AND($Y77=1,ISNUMBER($O77)),IF($O77&lt;$I77*$M77,"DISPO ",""),"")&amp;IF($S77="O","FICTIF ","")&amp;IF($Y77=1,IF(AND($K77="TTC",$W77&lt;&gt;"CH"),"TVA-ÉTRANGÈRE ",""),""))</f>
        <v/>
      </c>
      <c r="AR77" s="18" t="str">
        <f aca="false">IF($Y77=1,COUNTIFS($A$6:$A$205,$A77,$AK$6:$AK$205,"&lt;"&amp;$AK77,$Y$6:$Y$205,1)+1,"")</f>
        <v/>
      </c>
      <c r="AS77" s="18" t="str">
        <f aca="false">IF(ISNUMBER($AR77),$A77&amp;"|"&amp;$AR77,"")</f>
        <v/>
      </c>
      <c r="AT77" s="27" t="str">
        <f aca="false">IF($Y77=1,$AK77*$I77*$M77,"")</f>
        <v/>
      </c>
    </row>
    <row r="78" customFormat="false" ht="15" hidden="false" customHeight="false" outlineLevel="0" collapsed="false">
      <c r="A78" s="9"/>
      <c r="B78" s="9"/>
      <c r="C78" s="9"/>
      <c r="D78" s="9"/>
      <c r="E78" s="9"/>
      <c r="F78" s="9"/>
      <c r="G78" s="9"/>
      <c r="H78" s="9"/>
      <c r="I78" s="9"/>
      <c r="J78" s="13"/>
      <c r="K78" s="9"/>
      <c r="L78" s="12"/>
      <c r="M78" s="9"/>
      <c r="N78" s="9"/>
      <c r="O78" s="9"/>
      <c r="P78" s="9"/>
      <c r="Q78" s="16"/>
      <c r="R78" s="13"/>
      <c r="S78" s="9"/>
      <c r="T78" s="18" t="str">
        <f aca="false">IF($C78="","",IFERROR(INDEX(Fournisseurs!$C$5:$C$24,MATCH($C78,Fournisseurs!$A$5:$A$24,0)),""))</f>
        <v/>
      </c>
      <c r="U78" s="25" t="str">
        <f aca="false">IF($C78="","",IFERROR(INDEX(Fournisseurs!$D$5:$D$24,MATCH($C78,Fournisseurs!$A$5:$A$24,0)),""))</f>
        <v/>
      </c>
      <c r="V78" s="26" t="str">
        <f aca="false">IF($C78="","",IFERROR(INDEX(Fournisseurs!$G$5:$G$24,MATCH($C78,Fournisseurs!$A$5:$A$24,0)),""))</f>
        <v/>
      </c>
      <c r="W78" s="18" t="str">
        <f aca="false">IF($C78="","",IFERROR(INDEX(Fournisseurs!$H$5:$H$24,MATCH($C78,Fournisseurs!$A$5:$A$24,0)),""))</f>
        <v/>
      </c>
      <c r="X78" s="18" t="str">
        <f aca="false">IF($C78="","",IFERROR(INDEX(Fournisseurs!$B$5:$B$24,MATCH($C78,Fournisseurs!$A$5:$A$24,0)),""))</f>
        <v/>
      </c>
      <c r="Y78" s="18" t="str">
        <f aca="false">IF($A78="","",IF(AND($A78&lt;&gt;"",$C78&lt;&gt;"",ISNUMBER($I78),ISNUMBER($J78),ISNUMBER($M78)),IF(AND($I78&gt;=1,$J78&gt;0,OR($K78="HT",$K78="TTC"),$M78&gt;=1,IFERROR(INDEX(Fournisseurs!$T$5:$T$24,MATCH($C78,Fournisseurs!$A$5:$A$24,0)),0)=1),1,0),0))</f>
        <v/>
      </c>
      <c r="Z78" s="27" t="str">
        <f aca="false">IF($Y78=1,$J78*(1-N($L78)),"")</f>
        <v/>
      </c>
      <c r="AA78" s="28" t="str">
        <f aca="false">IF($Y78=1,IF($K78="TTC",$Z78/(1+$V78),$Z78),"")</f>
        <v/>
      </c>
      <c r="AB78" s="28" t="str">
        <f aca="false">IF($Y78=1,IF($K78="TTC",$Z78-$AA78,$AA78*$V78),"")</f>
        <v/>
      </c>
      <c r="AC78" s="27" t="str">
        <f aca="false">IF($Y78=1,$AA78*$U78*$M78,"")</f>
        <v/>
      </c>
      <c r="AD78" s="26" t="str">
        <f aca="false">IF($Y78=1,$AC78/SUMIFS($AC$6:$AC$205,$C$6:$C$205,$C78,$Y$6:$Y$205,1),"")</f>
        <v/>
      </c>
      <c r="AE78" s="28" t="str">
        <f aca="false">IF($Y78=1,(INDEX(Fournisseurs!$J$5:$J$24,MATCH($C78,Fournisseurs!$A$5:$A$24,0))+INDEX(Fournisseurs!$K$5:$K$24,MATCH($C78,Fournisseurs!$A$5:$A$24,0)))*$U78*$AD78/($I78*$M78),"")</f>
        <v/>
      </c>
      <c r="AF78" s="28" t="str">
        <f aca="false">IF($Y78=1,INDEX(Fournisseurs!$L$5:$L$24,MATCH($C78,Fournisseurs!$A$5:$A$24,0))*$AD78/($I78*$M78),"")</f>
        <v/>
      </c>
      <c r="AG78" s="28" t="str">
        <f aca="false">IF($Y78=1,$AA78*$U78/$I78,"")</f>
        <v/>
      </c>
      <c r="AH78" s="28" t="str">
        <f aca="false">IF($Y78=1,$AB78*$U78/$I78,"")</f>
        <v/>
      </c>
      <c r="AI78" s="18" t="str">
        <f aca="false">IF($Y78=1,IF(AND(Paramètres!$B$4="EFFECTIVE",$W78="CH",$AB78&gt;0),1,0),"")</f>
        <v/>
      </c>
      <c r="AJ78" s="28" t="str">
        <f aca="false">IF($Y78=1,IF($X78&lt;&gt;"CH",($AG78+$AE78+$AF78)*Paramètres!$B$14,0),"")</f>
        <v/>
      </c>
      <c r="AK78" s="29" t="str">
        <f aca="false">IF($Y78=1,$AG78+IF($AI78=1,0,$AH78)+$AE78+$AF78+IF(Paramètres!$B$4="NOT_REGISTERED",$AJ78,0),"")</f>
        <v/>
      </c>
      <c r="AL78" s="27" t="str">
        <f aca="false">IF($Y78=1,($AK78+Paramètres!$B$7+Paramètres!$B$8+Paramètres!$B$9+Paramètres!$B$10)/((1-Paramètres!$B$11)/(1+Paramètres!$B$5)-Paramètres!$B$6),"")</f>
        <v/>
      </c>
      <c r="AM78" s="26" t="str">
        <f aca="false">IF(AND($Y78=1,ISNUMBER($R78)),IF($R78&gt;0,$AL78/$R78-1,""),"")</f>
        <v/>
      </c>
      <c r="AN78" s="27" t="str">
        <f aca="false">IF(AND($Y78=1,ISNUMBER($R78)),IF($R78&gt;0,$R78/(1+Paramètres!$B$5)-$AK78-($R78*Paramètres!$B$6+Paramètres!$B$7)-Paramètres!$B$8-Paramètres!$B$9-Paramètres!$B$10,""),"")</f>
        <v/>
      </c>
      <c r="AO78" s="26" t="str">
        <f aca="false">IF(ISNUMBER($AN78),$AN78/($R78/(1+Paramètres!$B$5)),"")</f>
        <v/>
      </c>
      <c r="AP78" s="30" t="str">
        <f aca="false">IF($A78="","",IF($Y78&lt;&gt;1,"INCOMPLET",IF(NOT(ISNUMBER($AM78)),"SANS RÉF. MARCHÉ",IF($AM78&lt;=Paramètres!$B$12,"OK",IF(AND($AO78&gt;=Paramètres!$B$15,$AN78&gt;=Paramètres!$B$16),"À REVOIR","NON RENTABLE")))))</f>
        <v/>
      </c>
      <c r="AQ78" s="18" t="str">
        <f aca="false">TRIM(IF(AND($Y78=1,ISNUMBER($N78)),IF($M78&lt;$N78,"MOQ ",""),"")&amp;IF(AND($Y78=1,ISNUMBER($O78)),IF($O78&lt;$I78*$M78,"DISPO ",""),"")&amp;IF($S78="O","FICTIF ","")&amp;IF($Y78=1,IF(AND($K78="TTC",$W78&lt;&gt;"CH"),"TVA-ÉTRANGÈRE ",""),""))</f>
        <v/>
      </c>
      <c r="AR78" s="18" t="str">
        <f aca="false">IF($Y78=1,COUNTIFS($A$6:$A$205,$A78,$AK$6:$AK$205,"&lt;"&amp;$AK78,$Y$6:$Y$205,1)+1,"")</f>
        <v/>
      </c>
      <c r="AS78" s="18" t="str">
        <f aca="false">IF(ISNUMBER($AR78),$A78&amp;"|"&amp;$AR78,"")</f>
        <v/>
      </c>
      <c r="AT78" s="27" t="str">
        <f aca="false">IF($Y78=1,$AK78*$I78*$M78,"")</f>
        <v/>
      </c>
    </row>
    <row r="79" customFormat="false" ht="15" hidden="false" customHeight="false" outlineLevel="0" collapsed="false">
      <c r="A79" s="9"/>
      <c r="B79" s="9"/>
      <c r="C79" s="9"/>
      <c r="D79" s="9"/>
      <c r="E79" s="9"/>
      <c r="F79" s="9"/>
      <c r="G79" s="9"/>
      <c r="H79" s="9"/>
      <c r="I79" s="9"/>
      <c r="J79" s="13"/>
      <c r="K79" s="9"/>
      <c r="L79" s="12"/>
      <c r="M79" s="9"/>
      <c r="N79" s="9"/>
      <c r="O79" s="9"/>
      <c r="P79" s="9"/>
      <c r="Q79" s="16"/>
      <c r="R79" s="13"/>
      <c r="S79" s="9"/>
      <c r="T79" s="18" t="str">
        <f aca="false">IF($C79="","",IFERROR(INDEX(Fournisseurs!$C$5:$C$24,MATCH($C79,Fournisseurs!$A$5:$A$24,0)),""))</f>
        <v/>
      </c>
      <c r="U79" s="25" t="str">
        <f aca="false">IF($C79="","",IFERROR(INDEX(Fournisseurs!$D$5:$D$24,MATCH($C79,Fournisseurs!$A$5:$A$24,0)),""))</f>
        <v/>
      </c>
      <c r="V79" s="26" t="str">
        <f aca="false">IF($C79="","",IFERROR(INDEX(Fournisseurs!$G$5:$G$24,MATCH($C79,Fournisseurs!$A$5:$A$24,0)),""))</f>
        <v/>
      </c>
      <c r="W79" s="18" t="str">
        <f aca="false">IF($C79="","",IFERROR(INDEX(Fournisseurs!$H$5:$H$24,MATCH($C79,Fournisseurs!$A$5:$A$24,0)),""))</f>
        <v/>
      </c>
      <c r="X79" s="18" t="str">
        <f aca="false">IF($C79="","",IFERROR(INDEX(Fournisseurs!$B$5:$B$24,MATCH($C79,Fournisseurs!$A$5:$A$24,0)),""))</f>
        <v/>
      </c>
      <c r="Y79" s="18" t="str">
        <f aca="false">IF($A79="","",IF(AND($A79&lt;&gt;"",$C79&lt;&gt;"",ISNUMBER($I79),ISNUMBER($J79),ISNUMBER($M79)),IF(AND($I79&gt;=1,$J79&gt;0,OR($K79="HT",$K79="TTC"),$M79&gt;=1,IFERROR(INDEX(Fournisseurs!$T$5:$T$24,MATCH($C79,Fournisseurs!$A$5:$A$24,0)),0)=1),1,0),0))</f>
        <v/>
      </c>
      <c r="Z79" s="27" t="str">
        <f aca="false">IF($Y79=1,$J79*(1-N($L79)),"")</f>
        <v/>
      </c>
      <c r="AA79" s="28" t="str">
        <f aca="false">IF($Y79=1,IF($K79="TTC",$Z79/(1+$V79),$Z79),"")</f>
        <v/>
      </c>
      <c r="AB79" s="28" t="str">
        <f aca="false">IF($Y79=1,IF($K79="TTC",$Z79-$AA79,$AA79*$V79),"")</f>
        <v/>
      </c>
      <c r="AC79" s="27" t="str">
        <f aca="false">IF($Y79=1,$AA79*$U79*$M79,"")</f>
        <v/>
      </c>
      <c r="AD79" s="26" t="str">
        <f aca="false">IF($Y79=1,$AC79/SUMIFS($AC$6:$AC$205,$C$6:$C$205,$C79,$Y$6:$Y$205,1),"")</f>
        <v/>
      </c>
      <c r="AE79" s="28" t="str">
        <f aca="false">IF($Y79=1,(INDEX(Fournisseurs!$J$5:$J$24,MATCH($C79,Fournisseurs!$A$5:$A$24,0))+INDEX(Fournisseurs!$K$5:$K$24,MATCH($C79,Fournisseurs!$A$5:$A$24,0)))*$U79*$AD79/($I79*$M79),"")</f>
        <v/>
      </c>
      <c r="AF79" s="28" t="str">
        <f aca="false">IF($Y79=1,INDEX(Fournisseurs!$L$5:$L$24,MATCH($C79,Fournisseurs!$A$5:$A$24,0))*$AD79/($I79*$M79),"")</f>
        <v/>
      </c>
      <c r="AG79" s="28" t="str">
        <f aca="false">IF($Y79=1,$AA79*$U79/$I79,"")</f>
        <v/>
      </c>
      <c r="AH79" s="28" t="str">
        <f aca="false">IF($Y79=1,$AB79*$U79/$I79,"")</f>
        <v/>
      </c>
      <c r="AI79" s="18" t="str">
        <f aca="false">IF($Y79=1,IF(AND(Paramètres!$B$4="EFFECTIVE",$W79="CH",$AB79&gt;0),1,0),"")</f>
        <v/>
      </c>
      <c r="AJ79" s="28" t="str">
        <f aca="false">IF($Y79=1,IF($X79&lt;&gt;"CH",($AG79+$AE79+$AF79)*Paramètres!$B$14,0),"")</f>
        <v/>
      </c>
      <c r="AK79" s="29" t="str">
        <f aca="false">IF($Y79=1,$AG79+IF($AI79=1,0,$AH79)+$AE79+$AF79+IF(Paramètres!$B$4="NOT_REGISTERED",$AJ79,0),"")</f>
        <v/>
      </c>
      <c r="AL79" s="27" t="str">
        <f aca="false">IF($Y79=1,($AK79+Paramètres!$B$7+Paramètres!$B$8+Paramètres!$B$9+Paramètres!$B$10)/((1-Paramètres!$B$11)/(1+Paramètres!$B$5)-Paramètres!$B$6),"")</f>
        <v/>
      </c>
      <c r="AM79" s="26" t="str">
        <f aca="false">IF(AND($Y79=1,ISNUMBER($R79)),IF($R79&gt;0,$AL79/$R79-1,""),"")</f>
        <v/>
      </c>
      <c r="AN79" s="27" t="str">
        <f aca="false">IF(AND($Y79=1,ISNUMBER($R79)),IF($R79&gt;0,$R79/(1+Paramètres!$B$5)-$AK79-($R79*Paramètres!$B$6+Paramètres!$B$7)-Paramètres!$B$8-Paramètres!$B$9-Paramètres!$B$10,""),"")</f>
        <v/>
      </c>
      <c r="AO79" s="26" t="str">
        <f aca="false">IF(ISNUMBER($AN79),$AN79/($R79/(1+Paramètres!$B$5)),"")</f>
        <v/>
      </c>
      <c r="AP79" s="30" t="str">
        <f aca="false">IF($A79="","",IF($Y79&lt;&gt;1,"INCOMPLET",IF(NOT(ISNUMBER($AM79)),"SANS RÉF. MARCHÉ",IF($AM79&lt;=Paramètres!$B$12,"OK",IF(AND($AO79&gt;=Paramètres!$B$15,$AN79&gt;=Paramètres!$B$16),"À REVOIR","NON RENTABLE")))))</f>
        <v/>
      </c>
      <c r="AQ79" s="18" t="str">
        <f aca="false">TRIM(IF(AND($Y79=1,ISNUMBER($N79)),IF($M79&lt;$N79,"MOQ ",""),"")&amp;IF(AND($Y79=1,ISNUMBER($O79)),IF($O79&lt;$I79*$M79,"DISPO ",""),"")&amp;IF($S79="O","FICTIF ","")&amp;IF($Y79=1,IF(AND($K79="TTC",$W79&lt;&gt;"CH"),"TVA-ÉTRANGÈRE ",""),""))</f>
        <v/>
      </c>
      <c r="AR79" s="18" t="str">
        <f aca="false">IF($Y79=1,COUNTIFS($A$6:$A$205,$A79,$AK$6:$AK$205,"&lt;"&amp;$AK79,$Y$6:$Y$205,1)+1,"")</f>
        <v/>
      </c>
      <c r="AS79" s="18" t="str">
        <f aca="false">IF(ISNUMBER($AR79),$A79&amp;"|"&amp;$AR79,"")</f>
        <v/>
      </c>
      <c r="AT79" s="27" t="str">
        <f aca="false">IF($Y79=1,$AK79*$I79*$M79,"")</f>
        <v/>
      </c>
    </row>
    <row r="80" customFormat="false" ht="15" hidden="false" customHeight="false" outlineLevel="0" collapsed="false">
      <c r="A80" s="9"/>
      <c r="B80" s="9"/>
      <c r="C80" s="9"/>
      <c r="D80" s="9"/>
      <c r="E80" s="9"/>
      <c r="F80" s="9"/>
      <c r="G80" s="9"/>
      <c r="H80" s="9"/>
      <c r="I80" s="9"/>
      <c r="J80" s="13"/>
      <c r="K80" s="9"/>
      <c r="L80" s="12"/>
      <c r="M80" s="9"/>
      <c r="N80" s="9"/>
      <c r="O80" s="9"/>
      <c r="P80" s="9"/>
      <c r="Q80" s="16"/>
      <c r="R80" s="13"/>
      <c r="S80" s="9"/>
      <c r="T80" s="18" t="str">
        <f aca="false">IF($C80="","",IFERROR(INDEX(Fournisseurs!$C$5:$C$24,MATCH($C80,Fournisseurs!$A$5:$A$24,0)),""))</f>
        <v/>
      </c>
      <c r="U80" s="25" t="str">
        <f aca="false">IF($C80="","",IFERROR(INDEX(Fournisseurs!$D$5:$D$24,MATCH($C80,Fournisseurs!$A$5:$A$24,0)),""))</f>
        <v/>
      </c>
      <c r="V80" s="26" t="str">
        <f aca="false">IF($C80="","",IFERROR(INDEX(Fournisseurs!$G$5:$G$24,MATCH($C80,Fournisseurs!$A$5:$A$24,0)),""))</f>
        <v/>
      </c>
      <c r="W80" s="18" t="str">
        <f aca="false">IF($C80="","",IFERROR(INDEX(Fournisseurs!$H$5:$H$24,MATCH($C80,Fournisseurs!$A$5:$A$24,0)),""))</f>
        <v/>
      </c>
      <c r="X80" s="18" t="str">
        <f aca="false">IF($C80="","",IFERROR(INDEX(Fournisseurs!$B$5:$B$24,MATCH($C80,Fournisseurs!$A$5:$A$24,0)),""))</f>
        <v/>
      </c>
      <c r="Y80" s="18" t="str">
        <f aca="false">IF($A80="","",IF(AND($A80&lt;&gt;"",$C80&lt;&gt;"",ISNUMBER($I80),ISNUMBER($J80),ISNUMBER($M80)),IF(AND($I80&gt;=1,$J80&gt;0,OR($K80="HT",$K80="TTC"),$M80&gt;=1,IFERROR(INDEX(Fournisseurs!$T$5:$T$24,MATCH($C80,Fournisseurs!$A$5:$A$24,0)),0)=1),1,0),0))</f>
        <v/>
      </c>
      <c r="Z80" s="27" t="str">
        <f aca="false">IF($Y80=1,$J80*(1-N($L80)),"")</f>
        <v/>
      </c>
      <c r="AA80" s="28" t="str">
        <f aca="false">IF($Y80=1,IF($K80="TTC",$Z80/(1+$V80),$Z80),"")</f>
        <v/>
      </c>
      <c r="AB80" s="28" t="str">
        <f aca="false">IF($Y80=1,IF($K80="TTC",$Z80-$AA80,$AA80*$V80),"")</f>
        <v/>
      </c>
      <c r="AC80" s="27" t="str">
        <f aca="false">IF($Y80=1,$AA80*$U80*$M80,"")</f>
        <v/>
      </c>
      <c r="AD80" s="26" t="str">
        <f aca="false">IF($Y80=1,$AC80/SUMIFS($AC$6:$AC$205,$C$6:$C$205,$C80,$Y$6:$Y$205,1),"")</f>
        <v/>
      </c>
      <c r="AE80" s="28" t="str">
        <f aca="false">IF($Y80=1,(INDEX(Fournisseurs!$J$5:$J$24,MATCH($C80,Fournisseurs!$A$5:$A$24,0))+INDEX(Fournisseurs!$K$5:$K$24,MATCH($C80,Fournisseurs!$A$5:$A$24,0)))*$U80*$AD80/($I80*$M80),"")</f>
        <v/>
      </c>
      <c r="AF80" s="28" t="str">
        <f aca="false">IF($Y80=1,INDEX(Fournisseurs!$L$5:$L$24,MATCH($C80,Fournisseurs!$A$5:$A$24,0))*$AD80/($I80*$M80),"")</f>
        <v/>
      </c>
      <c r="AG80" s="28" t="str">
        <f aca="false">IF($Y80=1,$AA80*$U80/$I80,"")</f>
        <v/>
      </c>
      <c r="AH80" s="28" t="str">
        <f aca="false">IF($Y80=1,$AB80*$U80/$I80,"")</f>
        <v/>
      </c>
      <c r="AI80" s="18" t="str">
        <f aca="false">IF($Y80=1,IF(AND(Paramètres!$B$4="EFFECTIVE",$W80="CH",$AB80&gt;0),1,0),"")</f>
        <v/>
      </c>
      <c r="AJ80" s="28" t="str">
        <f aca="false">IF($Y80=1,IF($X80&lt;&gt;"CH",($AG80+$AE80+$AF80)*Paramètres!$B$14,0),"")</f>
        <v/>
      </c>
      <c r="AK80" s="29" t="str">
        <f aca="false">IF($Y80=1,$AG80+IF($AI80=1,0,$AH80)+$AE80+$AF80+IF(Paramètres!$B$4="NOT_REGISTERED",$AJ80,0),"")</f>
        <v/>
      </c>
      <c r="AL80" s="27" t="str">
        <f aca="false">IF($Y80=1,($AK80+Paramètres!$B$7+Paramètres!$B$8+Paramètres!$B$9+Paramètres!$B$10)/((1-Paramètres!$B$11)/(1+Paramètres!$B$5)-Paramètres!$B$6),"")</f>
        <v/>
      </c>
      <c r="AM80" s="26" t="str">
        <f aca="false">IF(AND($Y80=1,ISNUMBER($R80)),IF($R80&gt;0,$AL80/$R80-1,""),"")</f>
        <v/>
      </c>
      <c r="AN80" s="27" t="str">
        <f aca="false">IF(AND($Y80=1,ISNUMBER($R80)),IF($R80&gt;0,$R80/(1+Paramètres!$B$5)-$AK80-($R80*Paramètres!$B$6+Paramètres!$B$7)-Paramètres!$B$8-Paramètres!$B$9-Paramètres!$B$10,""),"")</f>
        <v/>
      </c>
      <c r="AO80" s="26" t="str">
        <f aca="false">IF(ISNUMBER($AN80),$AN80/($R80/(1+Paramètres!$B$5)),"")</f>
        <v/>
      </c>
      <c r="AP80" s="30" t="str">
        <f aca="false">IF($A80="","",IF($Y80&lt;&gt;1,"INCOMPLET",IF(NOT(ISNUMBER($AM80)),"SANS RÉF. MARCHÉ",IF($AM80&lt;=Paramètres!$B$12,"OK",IF(AND($AO80&gt;=Paramètres!$B$15,$AN80&gt;=Paramètres!$B$16),"À REVOIR","NON RENTABLE")))))</f>
        <v/>
      </c>
      <c r="AQ80" s="18" t="str">
        <f aca="false">TRIM(IF(AND($Y80=1,ISNUMBER($N80)),IF($M80&lt;$N80,"MOQ ",""),"")&amp;IF(AND($Y80=1,ISNUMBER($O80)),IF($O80&lt;$I80*$M80,"DISPO ",""),"")&amp;IF($S80="O","FICTIF ","")&amp;IF($Y80=1,IF(AND($K80="TTC",$W80&lt;&gt;"CH"),"TVA-ÉTRANGÈRE ",""),""))</f>
        <v/>
      </c>
      <c r="AR80" s="18" t="str">
        <f aca="false">IF($Y80=1,COUNTIFS($A$6:$A$205,$A80,$AK$6:$AK$205,"&lt;"&amp;$AK80,$Y$6:$Y$205,1)+1,"")</f>
        <v/>
      </c>
      <c r="AS80" s="18" t="str">
        <f aca="false">IF(ISNUMBER($AR80),$A80&amp;"|"&amp;$AR80,"")</f>
        <v/>
      </c>
      <c r="AT80" s="27" t="str">
        <f aca="false">IF($Y80=1,$AK80*$I80*$M80,"")</f>
        <v/>
      </c>
    </row>
    <row r="81" customFormat="false" ht="15" hidden="false" customHeight="false" outlineLevel="0" collapsed="false">
      <c r="A81" s="9"/>
      <c r="B81" s="9"/>
      <c r="C81" s="9"/>
      <c r="D81" s="9"/>
      <c r="E81" s="9"/>
      <c r="F81" s="9"/>
      <c r="G81" s="9"/>
      <c r="H81" s="9"/>
      <c r="I81" s="9"/>
      <c r="J81" s="13"/>
      <c r="K81" s="9"/>
      <c r="L81" s="12"/>
      <c r="M81" s="9"/>
      <c r="N81" s="9"/>
      <c r="O81" s="9"/>
      <c r="P81" s="9"/>
      <c r="Q81" s="16"/>
      <c r="R81" s="13"/>
      <c r="S81" s="9"/>
      <c r="T81" s="18" t="str">
        <f aca="false">IF($C81="","",IFERROR(INDEX(Fournisseurs!$C$5:$C$24,MATCH($C81,Fournisseurs!$A$5:$A$24,0)),""))</f>
        <v/>
      </c>
      <c r="U81" s="25" t="str">
        <f aca="false">IF($C81="","",IFERROR(INDEX(Fournisseurs!$D$5:$D$24,MATCH($C81,Fournisseurs!$A$5:$A$24,0)),""))</f>
        <v/>
      </c>
      <c r="V81" s="26" t="str">
        <f aca="false">IF($C81="","",IFERROR(INDEX(Fournisseurs!$G$5:$G$24,MATCH($C81,Fournisseurs!$A$5:$A$24,0)),""))</f>
        <v/>
      </c>
      <c r="W81" s="18" t="str">
        <f aca="false">IF($C81="","",IFERROR(INDEX(Fournisseurs!$H$5:$H$24,MATCH($C81,Fournisseurs!$A$5:$A$24,0)),""))</f>
        <v/>
      </c>
      <c r="X81" s="18" t="str">
        <f aca="false">IF($C81="","",IFERROR(INDEX(Fournisseurs!$B$5:$B$24,MATCH($C81,Fournisseurs!$A$5:$A$24,0)),""))</f>
        <v/>
      </c>
      <c r="Y81" s="18" t="str">
        <f aca="false">IF($A81="","",IF(AND($A81&lt;&gt;"",$C81&lt;&gt;"",ISNUMBER($I81),ISNUMBER($J81),ISNUMBER($M81)),IF(AND($I81&gt;=1,$J81&gt;0,OR($K81="HT",$K81="TTC"),$M81&gt;=1,IFERROR(INDEX(Fournisseurs!$T$5:$T$24,MATCH($C81,Fournisseurs!$A$5:$A$24,0)),0)=1),1,0),0))</f>
        <v/>
      </c>
      <c r="Z81" s="27" t="str">
        <f aca="false">IF($Y81=1,$J81*(1-N($L81)),"")</f>
        <v/>
      </c>
      <c r="AA81" s="28" t="str">
        <f aca="false">IF($Y81=1,IF($K81="TTC",$Z81/(1+$V81),$Z81),"")</f>
        <v/>
      </c>
      <c r="AB81" s="28" t="str">
        <f aca="false">IF($Y81=1,IF($K81="TTC",$Z81-$AA81,$AA81*$V81),"")</f>
        <v/>
      </c>
      <c r="AC81" s="27" t="str">
        <f aca="false">IF($Y81=1,$AA81*$U81*$M81,"")</f>
        <v/>
      </c>
      <c r="AD81" s="26" t="str">
        <f aca="false">IF($Y81=1,$AC81/SUMIFS($AC$6:$AC$205,$C$6:$C$205,$C81,$Y$6:$Y$205,1),"")</f>
        <v/>
      </c>
      <c r="AE81" s="28" t="str">
        <f aca="false">IF($Y81=1,(INDEX(Fournisseurs!$J$5:$J$24,MATCH($C81,Fournisseurs!$A$5:$A$24,0))+INDEX(Fournisseurs!$K$5:$K$24,MATCH($C81,Fournisseurs!$A$5:$A$24,0)))*$U81*$AD81/($I81*$M81),"")</f>
        <v/>
      </c>
      <c r="AF81" s="28" t="str">
        <f aca="false">IF($Y81=1,INDEX(Fournisseurs!$L$5:$L$24,MATCH($C81,Fournisseurs!$A$5:$A$24,0))*$AD81/($I81*$M81),"")</f>
        <v/>
      </c>
      <c r="AG81" s="28" t="str">
        <f aca="false">IF($Y81=1,$AA81*$U81/$I81,"")</f>
        <v/>
      </c>
      <c r="AH81" s="28" t="str">
        <f aca="false">IF($Y81=1,$AB81*$U81/$I81,"")</f>
        <v/>
      </c>
      <c r="AI81" s="18" t="str">
        <f aca="false">IF($Y81=1,IF(AND(Paramètres!$B$4="EFFECTIVE",$W81="CH",$AB81&gt;0),1,0),"")</f>
        <v/>
      </c>
      <c r="AJ81" s="28" t="str">
        <f aca="false">IF($Y81=1,IF($X81&lt;&gt;"CH",($AG81+$AE81+$AF81)*Paramètres!$B$14,0),"")</f>
        <v/>
      </c>
      <c r="AK81" s="29" t="str">
        <f aca="false">IF($Y81=1,$AG81+IF($AI81=1,0,$AH81)+$AE81+$AF81+IF(Paramètres!$B$4="NOT_REGISTERED",$AJ81,0),"")</f>
        <v/>
      </c>
      <c r="AL81" s="27" t="str">
        <f aca="false">IF($Y81=1,($AK81+Paramètres!$B$7+Paramètres!$B$8+Paramètres!$B$9+Paramètres!$B$10)/((1-Paramètres!$B$11)/(1+Paramètres!$B$5)-Paramètres!$B$6),"")</f>
        <v/>
      </c>
      <c r="AM81" s="26" t="str">
        <f aca="false">IF(AND($Y81=1,ISNUMBER($R81)),IF($R81&gt;0,$AL81/$R81-1,""),"")</f>
        <v/>
      </c>
      <c r="AN81" s="27" t="str">
        <f aca="false">IF(AND($Y81=1,ISNUMBER($R81)),IF($R81&gt;0,$R81/(1+Paramètres!$B$5)-$AK81-($R81*Paramètres!$B$6+Paramètres!$B$7)-Paramètres!$B$8-Paramètres!$B$9-Paramètres!$B$10,""),"")</f>
        <v/>
      </c>
      <c r="AO81" s="26" t="str">
        <f aca="false">IF(ISNUMBER($AN81),$AN81/($R81/(1+Paramètres!$B$5)),"")</f>
        <v/>
      </c>
      <c r="AP81" s="30" t="str">
        <f aca="false">IF($A81="","",IF($Y81&lt;&gt;1,"INCOMPLET",IF(NOT(ISNUMBER($AM81)),"SANS RÉF. MARCHÉ",IF($AM81&lt;=Paramètres!$B$12,"OK",IF(AND($AO81&gt;=Paramètres!$B$15,$AN81&gt;=Paramètres!$B$16),"À REVOIR","NON RENTABLE")))))</f>
        <v/>
      </c>
      <c r="AQ81" s="18" t="str">
        <f aca="false">TRIM(IF(AND($Y81=1,ISNUMBER($N81)),IF($M81&lt;$N81,"MOQ ",""),"")&amp;IF(AND($Y81=1,ISNUMBER($O81)),IF($O81&lt;$I81*$M81,"DISPO ",""),"")&amp;IF($S81="O","FICTIF ","")&amp;IF($Y81=1,IF(AND($K81="TTC",$W81&lt;&gt;"CH"),"TVA-ÉTRANGÈRE ",""),""))</f>
        <v/>
      </c>
      <c r="AR81" s="18" t="str">
        <f aca="false">IF($Y81=1,COUNTIFS($A$6:$A$205,$A81,$AK$6:$AK$205,"&lt;"&amp;$AK81,$Y$6:$Y$205,1)+1,"")</f>
        <v/>
      </c>
      <c r="AS81" s="18" t="str">
        <f aca="false">IF(ISNUMBER($AR81),$A81&amp;"|"&amp;$AR81,"")</f>
        <v/>
      </c>
      <c r="AT81" s="27" t="str">
        <f aca="false">IF($Y81=1,$AK81*$I81*$M81,"")</f>
        <v/>
      </c>
    </row>
    <row r="82" customFormat="false" ht="15" hidden="false" customHeight="false" outlineLevel="0" collapsed="false">
      <c r="A82" s="9"/>
      <c r="B82" s="9"/>
      <c r="C82" s="9"/>
      <c r="D82" s="9"/>
      <c r="E82" s="9"/>
      <c r="F82" s="9"/>
      <c r="G82" s="9"/>
      <c r="H82" s="9"/>
      <c r="I82" s="9"/>
      <c r="J82" s="13"/>
      <c r="K82" s="9"/>
      <c r="L82" s="12"/>
      <c r="M82" s="9"/>
      <c r="N82" s="9"/>
      <c r="O82" s="9"/>
      <c r="P82" s="9"/>
      <c r="Q82" s="16"/>
      <c r="R82" s="13"/>
      <c r="S82" s="9"/>
      <c r="T82" s="18" t="str">
        <f aca="false">IF($C82="","",IFERROR(INDEX(Fournisseurs!$C$5:$C$24,MATCH($C82,Fournisseurs!$A$5:$A$24,0)),""))</f>
        <v/>
      </c>
      <c r="U82" s="25" t="str">
        <f aca="false">IF($C82="","",IFERROR(INDEX(Fournisseurs!$D$5:$D$24,MATCH($C82,Fournisseurs!$A$5:$A$24,0)),""))</f>
        <v/>
      </c>
      <c r="V82" s="26" t="str">
        <f aca="false">IF($C82="","",IFERROR(INDEX(Fournisseurs!$G$5:$G$24,MATCH($C82,Fournisseurs!$A$5:$A$24,0)),""))</f>
        <v/>
      </c>
      <c r="W82" s="18" t="str">
        <f aca="false">IF($C82="","",IFERROR(INDEX(Fournisseurs!$H$5:$H$24,MATCH($C82,Fournisseurs!$A$5:$A$24,0)),""))</f>
        <v/>
      </c>
      <c r="X82" s="18" t="str">
        <f aca="false">IF($C82="","",IFERROR(INDEX(Fournisseurs!$B$5:$B$24,MATCH($C82,Fournisseurs!$A$5:$A$24,0)),""))</f>
        <v/>
      </c>
      <c r="Y82" s="18" t="str">
        <f aca="false">IF($A82="","",IF(AND($A82&lt;&gt;"",$C82&lt;&gt;"",ISNUMBER($I82),ISNUMBER($J82),ISNUMBER($M82)),IF(AND($I82&gt;=1,$J82&gt;0,OR($K82="HT",$K82="TTC"),$M82&gt;=1,IFERROR(INDEX(Fournisseurs!$T$5:$T$24,MATCH($C82,Fournisseurs!$A$5:$A$24,0)),0)=1),1,0),0))</f>
        <v/>
      </c>
      <c r="Z82" s="27" t="str">
        <f aca="false">IF($Y82=1,$J82*(1-N($L82)),"")</f>
        <v/>
      </c>
      <c r="AA82" s="28" t="str">
        <f aca="false">IF($Y82=1,IF($K82="TTC",$Z82/(1+$V82),$Z82),"")</f>
        <v/>
      </c>
      <c r="AB82" s="28" t="str">
        <f aca="false">IF($Y82=1,IF($K82="TTC",$Z82-$AA82,$AA82*$V82),"")</f>
        <v/>
      </c>
      <c r="AC82" s="27" t="str">
        <f aca="false">IF($Y82=1,$AA82*$U82*$M82,"")</f>
        <v/>
      </c>
      <c r="AD82" s="26" t="str">
        <f aca="false">IF($Y82=1,$AC82/SUMIFS($AC$6:$AC$205,$C$6:$C$205,$C82,$Y$6:$Y$205,1),"")</f>
        <v/>
      </c>
      <c r="AE82" s="28" t="str">
        <f aca="false">IF($Y82=1,(INDEX(Fournisseurs!$J$5:$J$24,MATCH($C82,Fournisseurs!$A$5:$A$24,0))+INDEX(Fournisseurs!$K$5:$K$24,MATCH($C82,Fournisseurs!$A$5:$A$24,0)))*$U82*$AD82/($I82*$M82),"")</f>
        <v/>
      </c>
      <c r="AF82" s="28" t="str">
        <f aca="false">IF($Y82=1,INDEX(Fournisseurs!$L$5:$L$24,MATCH($C82,Fournisseurs!$A$5:$A$24,0))*$AD82/($I82*$M82),"")</f>
        <v/>
      </c>
      <c r="AG82" s="28" t="str">
        <f aca="false">IF($Y82=1,$AA82*$U82/$I82,"")</f>
        <v/>
      </c>
      <c r="AH82" s="28" t="str">
        <f aca="false">IF($Y82=1,$AB82*$U82/$I82,"")</f>
        <v/>
      </c>
      <c r="AI82" s="18" t="str">
        <f aca="false">IF($Y82=1,IF(AND(Paramètres!$B$4="EFFECTIVE",$W82="CH",$AB82&gt;0),1,0),"")</f>
        <v/>
      </c>
      <c r="AJ82" s="28" t="str">
        <f aca="false">IF($Y82=1,IF($X82&lt;&gt;"CH",($AG82+$AE82+$AF82)*Paramètres!$B$14,0),"")</f>
        <v/>
      </c>
      <c r="AK82" s="29" t="str">
        <f aca="false">IF($Y82=1,$AG82+IF($AI82=1,0,$AH82)+$AE82+$AF82+IF(Paramètres!$B$4="NOT_REGISTERED",$AJ82,0),"")</f>
        <v/>
      </c>
      <c r="AL82" s="27" t="str">
        <f aca="false">IF($Y82=1,($AK82+Paramètres!$B$7+Paramètres!$B$8+Paramètres!$B$9+Paramètres!$B$10)/((1-Paramètres!$B$11)/(1+Paramètres!$B$5)-Paramètres!$B$6),"")</f>
        <v/>
      </c>
      <c r="AM82" s="26" t="str">
        <f aca="false">IF(AND($Y82=1,ISNUMBER($R82)),IF($R82&gt;0,$AL82/$R82-1,""),"")</f>
        <v/>
      </c>
      <c r="AN82" s="27" t="str">
        <f aca="false">IF(AND($Y82=1,ISNUMBER($R82)),IF($R82&gt;0,$R82/(1+Paramètres!$B$5)-$AK82-($R82*Paramètres!$B$6+Paramètres!$B$7)-Paramètres!$B$8-Paramètres!$B$9-Paramètres!$B$10,""),"")</f>
        <v/>
      </c>
      <c r="AO82" s="26" t="str">
        <f aca="false">IF(ISNUMBER($AN82),$AN82/($R82/(1+Paramètres!$B$5)),"")</f>
        <v/>
      </c>
      <c r="AP82" s="30" t="str">
        <f aca="false">IF($A82="","",IF($Y82&lt;&gt;1,"INCOMPLET",IF(NOT(ISNUMBER($AM82)),"SANS RÉF. MARCHÉ",IF($AM82&lt;=Paramètres!$B$12,"OK",IF(AND($AO82&gt;=Paramètres!$B$15,$AN82&gt;=Paramètres!$B$16),"À REVOIR","NON RENTABLE")))))</f>
        <v/>
      </c>
      <c r="AQ82" s="18" t="str">
        <f aca="false">TRIM(IF(AND($Y82=1,ISNUMBER($N82)),IF($M82&lt;$N82,"MOQ ",""),"")&amp;IF(AND($Y82=1,ISNUMBER($O82)),IF($O82&lt;$I82*$M82,"DISPO ",""),"")&amp;IF($S82="O","FICTIF ","")&amp;IF($Y82=1,IF(AND($K82="TTC",$W82&lt;&gt;"CH"),"TVA-ÉTRANGÈRE ",""),""))</f>
        <v/>
      </c>
      <c r="AR82" s="18" t="str">
        <f aca="false">IF($Y82=1,COUNTIFS($A$6:$A$205,$A82,$AK$6:$AK$205,"&lt;"&amp;$AK82,$Y$6:$Y$205,1)+1,"")</f>
        <v/>
      </c>
      <c r="AS82" s="18" t="str">
        <f aca="false">IF(ISNUMBER($AR82),$A82&amp;"|"&amp;$AR82,"")</f>
        <v/>
      </c>
      <c r="AT82" s="27" t="str">
        <f aca="false">IF($Y82=1,$AK82*$I82*$M82,"")</f>
        <v/>
      </c>
    </row>
    <row r="83" customFormat="false" ht="15" hidden="false" customHeight="false" outlineLevel="0" collapsed="false">
      <c r="A83" s="9"/>
      <c r="B83" s="9"/>
      <c r="C83" s="9"/>
      <c r="D83" s="9"/>
      <c r="E83" s="9"/>
      <c r="F83" s="9"/>
      <c r="G83" s="9"/>
      <c r="H83" s="9"/>
      <c r="I83" s="9"/>
      <c r="J83" s="13"/>
      <c r="K83" s="9"/>
      <c r="L83" s="12"/>
      <c r="M83" s="9"/>
      <c r="N83" s="9"/>
      <c r="O83" s="9"/>
      <c r="P83" s="9"/>
      <c r="Q83" s="16"/>
      <c r="R83" s="13"/>
      <c r="S83" s="9"/>
      <c r="T83" s="18" t="str">
        <f aca="false">IF($C83="","",IFERROR(INDEX(Fournisseurs!$C$5:$C$24,MATCH($C83,Fournisseurs!$A$5:$A$24,0)),""))</f>
        <v/>
      </c>
      <c r="U83" s="25" t="str">
        <f aca="false">IF($C83="","",IFERROR(INDEX(Fournisseurs!$D$5:$D$24,MATCH($C83,Fournisseurs!$A$5:$A$24,0)),""))</f>
        <v/>
      </c>
      <c r="V83" s="26" t="str">
        <f aca="false">IF($C83="","",IFERROR(INDEX(Fournisseurs!$G$5:$G$24,MATCH($C83,Fournisseurs!$A$5:$A$24,0)),""))</f>
        <v/>
      </c>
      <c r="W83" s="18" t="str">
        <f aca="false">IF($C83="","",IFERROR(INDEX(Fournisseurs!$H$5:$H$24,MATCH($C83,Fournisseurs!$A$5:$A$24,0)),""))</f>
        <v/>
      </c>
      <c r="X83" s="18" t="str">
        <f aca="false">IF($C83="","",IFERROR(INDEX(Fournisseurs!$B$5:$B$24,MATCH($C83,Fournisseurs!$A$5:$A$24,0)),""))</f>
        <v/>
      </c>
      <c r="Y83" s="18" t="str">
        <f aca="false">IF($A83="","",IF(AND($A83&lt;&gt;"",$C83&lt;&gt;"",ISNUMBER($I83),ISNUMBER($J83),ISNUMBER($M83)),IF(AND($I83&gt;=1,$J83&gt;0,OR($K83="HT",$K83="TTC"),$M83&gt;=1,IFERROR(INDEX(Fournisseurs!$T$5:$T$24,MATCH($C83,Fournisseurs!$A$5:$A$24,0)),0)=1),1,0),0))</f>
        <v/>
      </c>
      <c r="Z83" s="27" t="str">
        <f aca="false">IF($Y83=1,$J83*(1-N($L83)),"")</f>
        <v/>
      </c>
      <c r="AA83" s="28" t="str">
        <f aca="false">IF($Y83=1,IF($K83="TTC",$Z83/(1+$V83),$Z83),"")</f>
        <v/>
      </c>
      <c r="AB83" s="28" t="str">
        <f aca="false">IF($Y83=1,IF($K83="TTC",$Z83-$AA83,$AA83*$V83),"")</f>
        <v/>
      </c>
      <c r="AC83" s="27" t="str">
        <f aca="false">IF($Y83=1,$AA83*$U83*$M83,"")</f>
        <v/>
      </c>
      <c r="AD83" s="26" t="str">
        <f aca="false">IF($Y83=1,$AC83/SUMIFS($AC$6:$AC$205,$C$6:$C$205,$C83,$Y$6:$Y$205,1),"")</f>
        <v/>
      </c>
      <c r="AE83" s="28" t="str">
        <f aca="false">IF($Y83=1,(INDEX(Fournisseurs!$J$5:$J$24,MATCH($C83,Fournisseurs!$A$5:$A$24,0))+INDEX(Fournisseurs!$K$5:$K$24,MATCH($C83,Fournisseurs!$A$5:$A$24,0)))*$U83*$AD83/($I83*$M83),"")</f>
        <v/>
      </c>
      <c r="AF83" s="28" t="str">
        <f aca="false">IF($Y83=1,INDEX(Fournisseurs!$L$5:$L$24,MATCH($C83,Fournisseurs!$A$5:$A$24,0))*$AD83/($I83*$M83),"")</f>
        <v/>
      </c>
      <c r="AG83" s="28" t="str">
        <f aca="false">IF($Y83=1,$AA83*$U83/$I83,"")</f>
        <v/>
      </c>
      <c r="AH83" s="28" t="str">
        <f aca="false">IF($Y83=1,$AB83*$U83/$I83,"")</f>
        <v/>
      </c>
      <c r="AI83" s="18" t="str">
        <f aca="false">IF($Y83=1,IF(AND(Paramètres!$B$4="EFFECTIVE",$W83="CH",$AB83&gt;0),1,0),"")</f>
        <v/>
      </c>
      <c r="AJ83" s="28" t="str">
        <f aca="false">IF($Y83=1,IF($X83&lt;&gt;"CH",($AG83+$AE83+$AF83)*Paramètres!$B$14,0),"")</f>
        <v/>
      </c>
      <c r="AK83" s="29" t="str">
        <f aca="false">IF($Y83=1,$AG83+IF($AI83=1,0,$AH83)+$AE83+$AF83+IF(Paramètres!$B$4="NOT_REGISTERED",$AJ83,0),"")</f>
        <v/>
      </c>
      <c r="AL83" s="27" t="str">
        <f aca="false">IF($Y83=1,($AK83+Paramètres!$B$7+Paramètres!$B$8+Paramètres!$B$9+Paramètres!$B$10)/((1-Paramètres!$B$11)/(1+Paramètres!$B$5)-Paramètres!$B$6),"")</f>
        <v/>
      </c>
      <c r="AM83" s="26" t="str">
        <f aca="false">IF(AND($Y83=1,ISNUMBER($R83)),IF($R83&gt;0,$AL83/$R83-1,""),"")</f>
        <v/>
      </c>
      <c r="AN83" s="27" t="str">
        <f aca="false">IF(AND($Y83=1,ISNUMBER($R83)),IF($R83&gt;0,$R83/(1+Paramètres!$B$5)-$AK83-($R83*Paramètres!$B$6+Paramètres!$B$7)-Paramètres!$B$8-Paramètres!$B$9-Paramètres!$B$10,""),"")</f>
        <v/>
      </c>
      <c r="AO83" s="26" t="str">
        <f aca="false">IF(ISNUMBER($AN83),$AN83/($R83/(1+Paramètres!$B$5)),"")</f>
        <v/>
      </c>
      <c r="AP83" s="30" t="str">
        <f aca="false">IF($A83="","",IF($Y83&lt;&gt;1,"INCOMPLET",IF(NOT(ISNUMBER($AM83)),"SANS RÉF. MARCHÉ",IF($AM83&lt;=Paramètres!$B$12,"OK",IF(AND($AO83&gt;=Paramètres!$B$15,$AN83&gt;=Paramètres!$B$16),"À REVOIR","NON RENTABLE")))))</f>
        <v/>
      </c>
      <c r="AQ83" s="18" t="str">
        <f aca="false">TRIM(IF(AND($Y83=1,ISNUMBER($N83)),IF($M83&lt;$N83,"MOQ ",""),"")&amp;IF(AND($Y83=1,ISNUMBER($O83)),IF($O83&lt;$I83*$M83,"DISPO ",""),"")&amp;IF($S83="O","FICTIF ","")&amp;IF($Y83=1,IF(AND($K83="TTC",$W83&lt;&gt;"CH"),"TVA-ÉTRANGÈRE ",""),""))</f>
        <v/>
      </c>
      <c r="AR83" s="18" t="str">
        <f aca="false">IF($Y83=1,COUNTIFS($A$6:$A$205,$A83,$AK$6:$AK$205,"&lt;"&amp;$AK83,$Y$6:$Y$205,1)+1,"")</f>
        <v/>
      </c>
      <c r="AS83" s="18" t="str">
        <f aca="false">IF(ISNUMBER($AR83),$A83&amp;"|"&amp;$AR83,"")</f>
        <v/>
      </c>
      <c r="AT83" s="27" t="str">
        <f aca="false">IF($Y83=1,$AK83*$I83*$M83,"")</f>
        <v/>
      </c>
    </row>
    <row r="84" customFormat="false" ht="15" hidden="false" customHeight="false" outlineLevel="0" collapsed="false">
      <c r="A84" s="9"/>
      <c r="B84" s="9"/>
      <c r="C84" s="9"/>
      <c r="D84" s="9"/>
      <c r="E84" s="9"/>
      <c r="F84" s="9"/>
      <c r="G84" s="9"/>
      <c r="H84" s="9"/>
      <c r="I84" s="9"/>
      <c r="J84" s="13"/>
      <c r="K84" s="9"/>
      <c r="L84" s="12"/>
      <c r="M84" s="9"/>
      <c r="N84" s="9"/>
      <c r="O84" s="9"/>
      <c r="P84" s="9"/>
      <c r="Q84" s="16"/>
      <c r="R84" s="13"/>
      <c r="S84" s="9"/>
      <c r="T84" s="18" t="str">
        <f aca="false">IF($C84="","",IFERROR(INDEX(Fournisseurs!$C$5:$C$24,MATCH($C84,Fournisseurs!$A$5:$A$24,0)),""))</f>
        <v/>
      </c>
      <c r="U84" s="25" t="str">
        <f aca="false">IF($C84="","",IFERROR(INDEX(Fournisseurs!$D$5:$D$24,MATCH($C84,Fournisseurs!$A$5:$A$24,0)),""))</f>
        <v/>
      </c>
      <c r="V84" s="26" t="str">
        <f aca="false">IF($C84="","",IFERROR(INDEX(Fournisseurs!$G$5:$G$24,MATCH($C84,Fournisseurs!$A$5:$A$24,0)),""))</f>
        <v/>
      </c>
      <c r="W84" s="18" t="str">
        <f aca="false">IF($C84="","",IFERROR(INDEX(Fournisseurs!$H$5:$H$24,MATCH($C84,Fournisseurs!$A$5:$A$24,0)),""))</f>
        <v/>
      </c>
      <c r="X84" s="18" t="str">
        <f aca="false">IF($C84="","",IFERROR(INDEX(Fournisseurs!$B$5:$B$24,MATCH($C84,Fournisseurs!$A$5:$A$24,0)),""))</f>
        <v/>
      </c>
      <c r="Y84" s="18" t="str">
        <f aca="false">IF($A84="","",IF(AND($A84&lt;&gt;"",$C84&lt;&gt;"",ISNUMBER($I84),ISNUMBER($J84),ISNUMBER($M84)),IF(AND($I84&gt;=1,$J84&gt;0,OR($K84="HT",$K84="TTC"),$M84&gt;=1,IFERROR(INDEX(Fournisseurs!$T$5:$T$24,MATCH($C84,Fournisseurs!$A$5:$A$24,0)),0)=1),1,0),0))</f>
        <v/>
      </c>
      <c r="Z84" s="27" t="str">
        <f aca="false">IF($Y84=1,$J84*(1-N($L84)),"")</f>
        <v/>
      </c>
      <c r="AA84" s="28" t="str">
        <f aca="false">IF($Y84=1,IF($K84="TTC",$Z84/(1+$V84),$Z84),"")</f>
        <v/>
      </c>
      <c r="AB84" s="28" t="str">
        <f aca="false">IF($Y84=1,IF($K84="TTC",$Z84-$AA84,$AA84*$V84),"")</f>
        <v/>
      </c>
      <c r="AC84" s="27" t="str">
        <f aca="false">IF($Y84=1,$AA84*$U84*$M84,"")</f>
        <v/>
      </c>
      <c r="AD84" s="26" t="str">
        <f aca="false">IF($Y84=1,$AC84/SUMIFS($AC$6:$AC$205,$C$6:$C$205,$C84,$Y$6:$Y$205,1),"")</f>
        <v/>
      </c>
      <c r="AE84" s="28" t="str">
        <f aca="false">IF($Y84=1,(INDEX(Fournisseurs!$J$5:$J$24,MATCH($C84,Fournisseurs!$A$5:$A$24,0))+INDEX(Fournisseurs!$K$5:$K$24,MATCH($C84,Fournisseurs!$A$5:$A$24,0)))*$U84*$AD84/($I84*$M84),"")</f>
        <v/>
      </c>
      <c r="AF84" s="28" t="str">
        <f aca="false">IF($Y84=1,INDEX(Fournisseurs!$L$5:$L$24,MATCH($C84,Fournisseurs!$A$5:$A$24,0))*$AD84/($I84*$M84),"")</f>
        <v/>
      </c>
      <c r="AG84" s="28" t="str">
        <f aca="false">IF($Y84=1,$AA84*$U84/$I84,"")</f>
        <v/>
      </c>
      <c r="AH84" s="28" t="str">
        <f aca="false">IF($Y84=1,$AB84*$U84/$I84,"")</f>
        <v/>
      </c>
      <c r="AI84" s="18" t="str">
        <f aca="false">IF($Y84=1,IF(AND(Paramètres!$B$4="EFFECTIVE",$W84="CH",$AB84&gt;0),1,0),"")</f>
        <v/>
      </c>
      <c r="AJ84" s="28" t="str">
        <f aca="false">IF($Y84=1,IF($X84&lt;&gt;"CH",($AG84+$AE84+$AF84)*Paramètres!$B$14,0),"")</f>
        <v/>
      </c>
      <c r="AK84" s="29" t="str">
        <f aca="false">IF($Y84=1,$AG84+IF($AI84=1,0,$AH84)+$AE84+$AF84+IF(Paramètres!$B$4="NOT_REGISTERED",$AJ84,0),"")</f>
        <v/>
      </c>
      <c r="AL84" s="27" t="str">
        <f aca="false">IF($Y84=1,($AK84+Paramètres!$B$7+Paramètres!$B$8+Paramètres!$B$9+Paramètres!$B$10)/((1-Paramètres!$B$11)/(1+Paramètres!$B$5)-Paramètres!$B$6),"")</f>
        <v/>
      </c>
      <c r="AM84" s="26" t="str">
        <f aca="false">IF(AND($Y84=1,ISNUMBER($R84)),IF($R84&gt;0,$AL84/$R84-1,""),"")</f>
        <v/>
      </c>
      <c r="AN84" s="27" t="str">
        <f aca="false">IF(AND($Y84=1,ISNUMBER($R84)),IF($R84&gt;0,$R84/(1+Paramètres!$B$5)-$AK84-($R84*Paramètres!$B$6+Paramètres!$B$7)-Paramètres!$B$8-Paramètres!$B$9-Paramètres!$B$10,""),"")</f>
        <v/>
      </c>
      <c r="AO84" s="26" t="str">
        <f aca="false">IF(ISNUMBER($AN84),$AN84/($R84/(1+Paramètres!$B$5)),"")</f>
        <v/>
      </c>
      <c r="AP84" s="30" t="str">
        <f aca="false">IF($A84="","",IF($Y84&lt;&gt;1,"INCOMPLET",IF(NOT(ISNUMBER($AM84)),"SANS RÉF. MARCHÉ",IF($AM84&lt;=Paramètres!$B$12,"OK",IF(AND($AO84&gt;=Paramètres!$B$15,$AN84&gt;=Paramètres!$B$16),"À REVOIR","NON RENTABLE")))))</f>
        <v/>
      </c>
      <c r="AQ84" s="18" t="str">
        <f aca="false">TRIM(IF(AND($Y84=1,ISNUMBER($N84)),IF($M84&lt;$N84,"MOQ ",""),"")&amp;IF(AND($Y84=1,ISNUMBER($O84)),IF($O84&lt;$I84*$M84,"DISPO ",""),"")&amp;IF($S84="O","FICTIF ","")&amp;IF($Y84=1,IF(AND($K84="TTC",$W84&lt;&gt;"CH"),"TVA-ÉTRANGÈRE ",""),""))</f>
        <v/>
      </c>
      <c r="AR84" s="18" t="str">
        <f aca="false">IF($Y84=1,COUNTIFS($A$6:$A$205,$A84,$AK$6:$AK$205,"&lt;"&amp;$AK84,$Y$6:$Y$205,1)+1,"")</f>
        <v/>
      </c>
      <c r="AS84" s="18" t="str">
        <f aca="false">IF(ISNUMBER($AR84),$A84&amp;"|"&amp;$AR84,"")</f>
        <v/>
      </c>
      <c r="AT84" s="27" t="str">
        <f aca="false">IF($Y84=1,$AK84*$I84*$M84,"")</f>
        <v/>
      </c>
    </row>
    <row r="85" customFormat="false" ht="15" hidden="false" customHeight="false" outlineLevel="0" collapsed="false">
      <c r="A85" s="9"/>
      <c r="B85" s="9"/>
      <c r="C85" s="9"/>
      <c r="D85" s="9"/>
      <c r="E85" s="9"/>
      <c r="F85" s="9"/>
      <c r="G85" s="9"/>
      <c r="H85" s="9"/>
      <c r="I85" s="9"/>
      <c r="J85" s="13"/>
      <c r="K85" s="9"/>
      <c r="L85" s="12"/>
      <c r="M85" s="9"/>
      <c r="N85" s="9"/>
      <c r="O85" s="9"/>
      <c r="P85" s="9"/>
      <c r="Q85" s="16"/>
      <c r="R85" s="13"/>
      <c r="S85" s="9"/>
      <c r="T85" s="18" t="str">
        <f aca="false">IF($C85="","",IFERROR(INDEX(Fournisseurs!$C$5:$C$24,MATCH($C85,Fournisseurs!$A$5:$A$24,0)),""))</f>
        <v/>
      </c>
      <c r="U85" s="25" t="str">
        <f aca="false">IF($C85="","",IFERROR(INDEX(Fournisseurs!$D$5:$D$24,MATCH($C85,Fournisseurs!$A$5:$A$24,0)),""))</f>
        <v/>
      </c>
      <c r="V85" s="26" t="str">
        <f aca="false">IF($C85="","",IFERROR(INDEX(Fournisseurs!$G$5:$G$24,MATCH($C85,Fournisseurs!$A$5:$A$24,0)),""))</f>
        <v/>
      </c>
      <c r="W85" s="18" t="str">
        <f aca="false">IF($C85="","",IFERROR(INDEX(Fournisseurs!$H$5:$H$24,MATCH($C85,Fournisseurs!$A$5:$A$24,0)),""))</f>
        <v/>
      </c>
      <c r="X85" s="18" t="str">
        <f aca="false">IF($C85="","",IFERROR(INDEX(Fournisseurs!$B$5:$B$24,MATCH($C85,Fournisseurs!$A$5:$A$24,0)),""))</f>
        <v/>
      </c>
      <c r="Y85" s="18" t="str">
        <f aca="false">IF($A85="","",IF(AND($A85&lt;&gt;"",$C85&lt;&gt;"",ISNUMBER($I85),ISNUMBER($J85),ISNUMBER($M85)),IF(AND($I85&gt;=1,$J85&gt;0,OR($K85="HT",$K85="TTC"),$M85&gt;=1,IFERROR(INDEX(Fournisseurs!$T$5:$T$24,MATCH($C85,Fournisseurs!$A$5:$A$24,0)),0)=1),1,0),0))</f>
        <v/>
      </c>
      <c r="Z85" s="27" t="str">
        <f aca="false">IF($Y85=1,$J85*(1-N($L85)),"")</f>
        <v/>
      </c>
      <c r="AA85" s="28" t="str">
        <f aca="false">IF($Y85=1,IF($K85="TTC",$Z85/(1+$V85),$Z85),"")</f>
        <v/>
      </c>
      <c r="AB85" s="28" t="str">
        <f aca="false">IF($Y85=1,IF($K85="TTC",$Z85-$AA85,$AA85*$V85),"")</f>
        <v/>
      </c>
      <c r="AC85" s="27" t="str">
        <f aca="false">IF($Y85=1,$AA85*$U85*$M85,"")</f>
        <v/>
      </c>
      <c r="AD85" s="26" t="str">
        <f aca="false">IF($Y85=1,$AC85/SUMIFS($AC$6:$AC$205,$C$6:$C$205,$C85,$Y$6:$Y$205,1),"")</f>
        <v/>
      </c>
      <c r="AE85" s="28" t="str">
        <f aca="false">IF($Y85=1,(INDEX(Fournisseurs!$J$5:$J$24,MATCH($C85,Fournisseurs!$A$5:$A$24,0))+INDEX(Fournisseurs!$K$5:$K$24,MATCH($C85,Fournisseurs!$A$5:$A$24,0)))*$U85*$AD85/($I85*$M85),"")</f>
        <v/>
      </c>
      <c r="AF85" s="28" t="str">
        <f aca="false">IF($Y85=1,INDEX(Fournisseurs!$L$5:$L$24,MATCH($C85,Fournisseurs!$A$5:$A$24,0))*$AD85/($I85*$M85),"")</f>
        <v/>
      </c>
      <c r="AG85" s="28" t="str">
        <f aca="false">IF($Y85=1,$AA85*$U85/$I85,"")</f>
        <v/>
      </c>
      <c r="AH85" s="28" t="str">
        <f aca="false">IF($Y85=1,$AB85*$U85/$I85,"")</f>
        <v/>
      </c>
      <c r="AI85" s="18" t="str">
        <f aca="false">IF($Y85=1,IF(AND(Paramètres!$B$4="EFFECTIVE",$W85="CH",$AB85&gt;0),1,0),"")</f>
        <v/>
      </c>
      <c r="AJ85" s="28" t="str">
        <f aca="false">IF($Y85=1,IF($X85&lt;&gt;"CH",($AG85+$AE85+$AF85)*Paramètres!$B$14,0),"")</f>
        <v/>
      </c>
      <c r="AK85" s="29" t="str">
        <f aca="false">IF($Y85=1,$AG85+IF($AI85=1,0,$AH85)+$AE85+$AF85+IF(Paramètres!$B$4="NOT_REGISTERED",$AJ85,0),"")</f>
        <v/>
      </c>
      <c r="AL85" s="27" t="str">
        <f aca="false">IF($Y85=1,($AK85+Paramètres!$B$7+Paramètres!$B$8+Paramètres!$B$9+Paramètres!$B$10)/((1-Paramètres!$B$11)/(1+Paramètres!$B$5)-Paramètres!$B$6),"")</f>
        <v/>
      </c>
      <c r="AM85" s="26" t="str">
        <f aca="false">IF(AND($Y85=1,ISNUMBER($R85)),IF($R85&gt;0,$AL85/$R85-1,""),"")</f>
        <v/>
      </c>
      <c r="AN85" s="27" t="str">
        <f aca="false">IF(AND($Y85=1,ISNUMBER($R85)),IF($R85&gt;0,$R85/(1+Paramètres!$B$5)-$AK85-($R85*Paramètres!$B$6+Paramètres!$B$7)-Paramètres!$B$8-Paramètres!$B$9-Paramètres!$B$10,""),"")</f>
        <v/>
      </c>
      <c r="AO85" s="26" t="str">
        <f aca="false">IF(ISNUMBER($AN85),$AN85/($R85/(1+Paramètres!$B$5)),"")</f>
        <v/>
      </c>
      <c r="AP85" s="30" t="str">
        <f aca="false">IF($A85="","",IF($Y85&lt;&gt;1,"INCOMPLET",IF(NOT(ISNUMBER($AM85)),"SANS RÉF. MARCHÉ",IF($AM85&lt;=Paramètres!$B$12,"OK",IF(AND($AO85&gt;=Paramètres!$B$15,$AN85&gt;=Paramètres!$B$16),"À REVOIR","NON RENTABLE")))))</f>
        <v/>
      </c>
      <c r="AQ85" s="18" t="str">
        <f aca="false">TRIM(IF(AND($Y85=1,ISNUMBER($N85)),IF($M85&lt;$N85,"MOQ ",""),"")&amp;IF(AND($Y85=1,ISNUMBER($O85)),IF($O85&lt;$I85*$M85,"DISPO ",""),"")&amp;IF($S85="O","FICTIF ","")&amp;IF($Y85=1,IF(AND($K85="TTC",$W85&lt;&gt;"CH"),"TVA-ÉTRANGÈRE ",""),""))</f>
        <v/>
      </c>
      <c r="AR85" s="18" t="str">
        <f aca="false">IF($Y85=1,COUNTIFS($A$6:$A$205,$A85,$AK$6:$AK$205,"&lt;"&amp;$AK85,$Y$6:$Y$205,1)+1,"")</f>
        <v/>
      </c>
      <c r="AS85" s="18" t="str">
        <f aca="false">IF(ISNUMBER($AR85),$A85&amp;"|"&amp;$AR85,"")</f>
        <v/>
      </c>
      <c r="AT85" s="27" t="str">
        <f aca="false">IF($Y85=1,$AK85*$I85*$M85,"")</f>
        <v/>
      </c>
    </row>
    <row r="86" customFormat="false" ht="15" hidden="false" customHeight="false" outlineLevel="0" collapsed="false">
      <c r="A86" s="9"/>
      <c r="B86" s="9"/>
      <c r="C86" s="9"/>
      <c r="D86" s="9"/>
      <c r="E86" s="9"/>
      <c r="F86" s="9"/>
      <c r="G86" s="9"/>
      <c r="H86" s="9"/>
      <c r="I86" s="9"/>
      <c r="J86" s="13"/>
      <c r="K86" s="9"/>
      <c r="L86" s="12"/>
      <c r="M86" s="9"/>
      <c r="N86" s="9"/>
      <c r="O86" s="9"/>
      <c r="P86" s="9"/>
      <c r="Q86" s="16"/>
      <c r="R86" s="13"/>
      <c r="S86" s="9"/>
      <c r="T86" s="18" t="str">
        <f aca="false">IF($C86="","",IFERROR(INDEX(Fournisseurs!$C$5:$C$24,MATCH($C86,Fournisseurs!$A$5:$A$24,0)),""))</f>
        <v/>
      </c>
      <c r="U86" s="25" t="str">
        <f aca="false">IF($C86="","",IFERROR(INDEX(Fournisseurs!$D$5:$D$24,MATCH($C86,Fournisseurs!$A$5:$A$24,0)),""))</f>
        <v/>
      </c>
      <c r="V86" s="26" t="str">
        <f aca="false">IF($C86="","",IFERROR(INDEX(Fournisseurs!$G$5:$G$24,MATCH($C86,Fournisseurs!$A$5:$A$24,0)),""))</f>
        <v/>
      </c>
      <c r="W86" s="18" t="str">
        <f aca="false">IF($C86="","",IFERROR(INDEX(Fournisseurs!$H$5:$H$24,MATCH($C86,Fournisseurs!$A$5:$A$24,0)),""))</f>
        <v/>
      </c>
      <c r="X86" s="18" t="str">
        <f aca="false">IF($C86="","",IFERROR(INDEX(Fournisseurs!$B$5:$B$24,MATCH($C86,Fournisseurs!$A$5:$A$24,0)),""))</f>
        <v/>
      </c>
      <c r="Y86" s="18" t="str">
        <f aca="false">IF($A86="","",IF(AND($A86&lt;&gt;"",$C86&lt;&gt;"",ISNUMBER($I86),ISNUMBER($J86),ISNUMBER($M86)),IF(AND($I86&gt;=1,$J86&gt;0,OR($K86="HT",$K86="TTC"),$M86&gt;=1,IFERROR(INDEX(Fournisseurs!$T$5:$T$24,MATCH($C86,Fournisseurs!$A$5:$A$24,0)),0)=1),1,0),0))</f>
        <v/>
      </c>
      <c r="Z86" s="27" t="str">
        <f aca="false">IF($Y86=1,$J86*(1-N($L86)),"")</f>
        <v/>
      </c>
      <c r="AA86" s="28" t="str">
        <f aca="false">IF($Y86=1,IF($K86="TTC",$Z86/(1+$V86),$Z86),"")</f>
        <v/>
      </c>
      <c r="AB86" s="28" t="str">
        <f aca="false">IF($Y86=1,IF($K86="TTC",$Z86-$AA86,$AA86*$V86),"")</f>
        <v/>
      </c>
      <c r="AC86" s="27" t="str">
        <f aca="false">IF($Y86=1,$AA86*$U86*$M86,"")</f>
        <v/>
      </c>
      <c r="AD86" s="26" t="str">
        <f aca="false">IF($Y86=1,$AC86/SUMIFS($AC$6:$AC$205,$C$6:$C$205,$C86,$Y$6:$Y$205,1),"")</f>
        <v/>
      </c>
      <c r="AE86" s="28" t="str">
        <f aca="false">IF($Y86=1,(INDEX(Fournisseurs!$J$5:$J$24,MATCH($C86,Fournisseurs!$A$5:$A$24,0))+INDEX(Fournisseurs!$K$5:$K$24,MATCH($C86,Fournisseurs!$A$5:$A$24,0)))*$U86*$AD86/($I86*$M86),"")</f>
        <v/>
      </c>
      <c r="AF86" s="28" t="str">
        <f aca="false">IF($Y86=1,INDEX(Fournisseurs!$L$5:$L$24,MATCH($C86,Fournisseurs!$A$5:$A$24,0))*$AD86/($I86*$M86),"")</f>
        <v/>
      </c>
      <c r="AG86" s="28" t="str">
        <f aca="false">IF($Y86=1,$AA86*$U86/$I86,"")</f>
        <v/>
      </c>
      <c r="AH86" s="28" t="str">
        <f aca="false">IF($Y86=1,$AB86*$U86/$I86,"")</f>
        <v/>
      </c>
      <c r="AI86" s="18" t="str">
        <f aca="false">IF($Y86=1,IF(AND(Paramètres!$B$4="EFFECTIVE",$W86="CH",$AB86&gt;0),1,0),"")</f>
        <v/>
      </c>
      <c r="AJ86" s="28" t="str">
        <f aca="false">IF($Y86=1,IF($X86&lt;&gt;"CH",($AG86+$AE86+$AF86)*Paramètres!$B$14,0),"")</f>
        <v/>
      </c>
      <c r="AK86" s="29" t="str">
        <f aca="false">IF($Y86=1,$AG86+IF($AI86=1,0,$AH86)+$AE86+$AF86+IF(Paramètres!$B$4="NOT_REGISTERED",$AJ86,0),"")</f>
        <v/>
      </c>
      <c r="AL86" s="27" t="str">
        <f aca="false">IF($Y86=1,($AK86+Paramètres!$B$7+Paramètres!$B$8+Paramètres!$B$9+Paramètres!$B$10)/((1-Paramètres!$B$11)/(1+Paramètres!$B$5)-Paramètres!$B$6),"")</f>
        <v/>
      </c>
      <c r="AM86" s="26" t="str">
        <f aca="false">IF(AND($Y86=1,ISNUMBER($R86)),IF($R86&gt;0,$AL86/$R86-1,""),"")</f>
        <v/>
      </c>
      <c r="AN86" s="27" t="str">
        <f aca="false">IF(AND($Y86=1,ISNUMBER($R86)),IF($R86&gt;0,$R86/(1+Paramètres!$B$5)-$AK86-($R86*Paramètres!$B$6+Paramètres!$B$7)-Paramètres!$B$8-Paramètres!$B$9-Paramètres!$B$10,""),"")</f>
        <v/>
      </c>
      <c r="AO86" s="26" t="str">
        <f aca="false">IF(ISNUMBER($AN86),$AN86/($R86/(1+Paramètres!$B$5)),"")</f>
        <v/>
      </c>
      <c r="AP86" s="30" t="str">
        <f aca="false">IF($A86="","",IF($Y86&lt;&gt;1,"INCOMPLET",IF(NOT(ISNUMBER($AM86)),"SANS RÉF. MARCHÉ",IF($AM86&lt;=Paramètres!$B$12,"OK",IF(AND($AO86&gt;=Paramètres!$B$15,$AN86&gt;=Paramètres!$B$16),"À REVOIR","NON RENTABLE")))))</f>
        <v/>
      </c>
      <c r="AQ86" s="18" t="str">
        <f aca="false">TRIM(IF(AND($Y86=1,ISNUMBER($N86)),IF($M86&lt;$N86,"MOQ ",""),"")&amp;IF(AND($Y86=1,ISNUMBER($O86)),IF($O86&lt;$I86*$M86,"DISPO ",""),"")&amp;IF($S86="O","FICTIF ","")&amp;IF($Y86=1,IF(AND($K86="TTC",$W86&lt;&gt;"CH"),"TVA-ÉTRANGÈRE ",""),""))</f>
        <v/>
      </c>
      <c r="AR86" s="18" t="str">
        <f aca="false">IF($Y86=1,COUNTIFS($A$6:$A$205,$A86,$AK$6:$AK$205,"&lt;"&amp;$AK86,$Y$6:$Y$205,1)+1,"")</f>
        <v/>
      </c>
      <c r="AS86" s="18" t="str">
        <f aca="false">IF(ISNUMBER($AR86),$A86&amp;"|"&amp;$AR86,"")</f>
        <v/>
      </c>
      <c r="AT86" s="27" t="str">
        <f aca="false">IF($Y86=1,$AK86*$I86*$M86,"")</f>
        <v/>
      </c>
    </row>
    <row r="87" customFormat="false" ht="15" hidden="false" customHeight="false" outlineLevel="0" collapsed="false">
      <c r="A87" s="9"/>
      <c r="B87" s="9"/>
      <c r="C87" s="9"/>
      <c r="D87" s="9"/>
      <c r="E87" s="9"/>
      <c r="F87" s="9"/>
      <c r="G87" s="9"/>
      <c r="H87" s="9"/>
      <c r="I87" s="9"/>
      <c r="J87" s="13"/>
      <c r="K87" s="9"/>
      <c r="L87" s="12"/>
      <c r="M87" s="9"/>
      <c r="N87" s="9"/>
      <c r="O87" s="9"/>
      <c r="P87" s="9"/>
      <c r="Q87" s="16"/>
      <c r="R87" s="13"/>
      <c r="S87" s="9"/>
      <c r="T87" s="18" t="str">
        <f aca="false">IF($C87="","",IFERROR(INDEX(Fournisseurs!$C$5:$C$24,MATCH($C87,Fournisseurs!$A$5:$A$24,0)),""))</f>
        <v/>
      </c>
      <c r="U87" s="25" t="str">
        <f aca="false">IF($C87="","",IFERROR(INDEX(Fournisseurs!$D$5:$D$24,MATCH($C87,Fournisseurs!$A$5:$A$24,0)),""))</f>
        <v/>
      </c>
      <c r="V87" s="26" t="str">
        <f aca="false">IF($C87="","",IFERROR(INDEX(Fournisseurs!$G$5:$G$24,MATCH($C87,Fournisseurs!$A$5:$A$24,0)),""))</f>
        <v/>
      </c>
      <c r="W87" s="18" t="str">
        <f aca="false">IF($C87="","",IFERROR(INDEX(Fournisseurs!$H$5:$H$24,MATCH($C87,Fournisseurs!$A$5:$A$24,0)),""))</f>
        <v/>
      </c>
      <c r="X87" s="18" t="str">
        <f aca="false">IF($C87="","",IFERROR(INDEX(Fournisseurs!$B$5:$B$24,MATCH($C87,Fournisseurs!$A$5:$A$24,0)),""))</f>
        <v/>
      </c>
      <c r="Y87" s="18" t="str">
        <f aca="false">IF($A87="","",IF(AND($A87&lt;&gt;"",$C87&lt;&gt;"",ISNUMBER($I87),ISNUMBER($J87),ISNUMBER($M87)),IF(AND($I87&gt;=1,$J87&gt;0,OR($K87="HT",$K87="TTC"),$M87&gt;=1,IFERROR(INDEX(Fournisseurs!$T$5:$T$24,MATCH($C87,Fournisseurs!$A$5:$A$24,0)),0)=1),1,0),0))</f>
        <v/>
      </c>
      <c r="Z87" s="27" t="str">
        <f aca="false">IF($Y87=1,$J87*(1-N($L87)),"")</f>
        <v/>
      </c>
      <c r="AA87" s="28" t="str">
        <f aca="false">IF($Y87=1,IF($K87="TTC",$Z87/(1+$V87),$Z87),"")</f>
        <v/>
      </c>
      <c r="AB87" s="28" t="str">
        <f aca="false">IF($Y87=1,IF($K87="TTC",$Z87-$AA87,$AA87*$V87),"")</f>
        <v/>
      </c>
      <c r="AC87" s="27" t="str">
        <f aca="false">IF($Y87=1,$AA87*$U87*$M87,"")</f>
        <v/>
      </c>
      <c r="AD87" s="26" t="str">
        <f aca="false">IF($Y87=1,$AC87/SUMIFS($AC$6:$AC$205,$C$6:$C$205,$C87,$Y$6:$Y$205,1),"")</f>
        <v/>
      </c>
      <c r="AE87" s="28" t="str">
        <f aca="false">IF($Y87=1,(INDEX(Fournisseurs!$J$5:$J$24,MATCH($C87,Fournisseurs!$A$5:$A$24,0))+INDEX(Fournisseurs!$K$5:$K$24,MATCH($C87,Fournisseurs!$A$5:$A$24,0)))*$U87*$AD87/($I87*$M87),"")</f>
        <v/>
      </c>
      <c r="AF87" s="28" t="str">
        <f aca="false">IF($Y87=1,INDEX(Fournisseurs!$L$5:$L$24,MATCH($C87,Fournisseurs!$A$5:$A$24,0))*$AD87/($I87*$M87),"")</f>
        <v/>
      </c>
      <c r="AG87" s="28" t="str">
        <f aca="false">IF($Y87=1,$AA87*$U87/$I87,"")</f>
        <v/>
      </c>
      <c r="AH87" s="28" t="str">
        <f aca="false">IF($Y87=1,$AB87*$U87/$I87,"")</f>
        <v/>
      </c>
      <c r="AI87" s="18" t="str">
        <f aca="false">IF($Y87=1,IF(AND(Paramètres!$B$4="EFFECTIVE",$W87="CH",$AB87&gt;0),1,0),"")</f>
        <v/>
      </c>
      <c r="AJ87" s="28" t="str">
        <f aca="false">IF($Y87=1,IF($X87&lt;&gt;"CH",($AG87+$AE87+$AF87)*Paramètres!$B$14,0),"")</f>
        <v/>
      </c>
      <c r="AK87" s="29" t="str">
        <f aca="false">IF($Y87=1,$AG87+IF($AI87=1,0,$AH87)+$AE87+$AF87+IF(Paramètres!$B$4="NOT_REGISTERED",$AJ87,0),"")</f>
        <v/>
      </c>
      <c r="AL87" s="27" t="str">
        <f aca="false">IF($Y87=1,($AK87+Paramètres!$B$7+Paramètres!$B$8+Paramètres!$B$9+Paramètres!$B$10)/((1-Paramètres!$B$11)/(1+Paramètres!$B$5)-Paramètres!$B$6),"")</f>
        <v/>
      </c>
      <c r="AM87" s="26" t="str">
        <f aca="false">IF(AND($Y87=1,ISNUMBER($R87)),IF($R87&gt;0,$AL87/$R87-1,""),"")</f>
        <v/>
      </c>
      <c r="AN87" s="27" t="str">
        <f aca="false">IF(AND($Y87=1,ISNUMBER($R87)),IF($R87&gt;0,$R87/(1+Paramètres!$B$5)-$AK87-($R87*Paramètres!$B$6+Paramètres!$B$7)-Paramètres!$B$8-Paramètres!$B$9-Paramètres!$B$10,""),"")</f>
        <v/>
      </c>
      <c r="AO87" s="26" t="str">
        <f aca="false">IF(ISNUMBER($AN87),$AN87/($R87/(1+Paramètres!$B$5)),"")</f>
        <v/>
      </c>
      <c r="AP87" s="30" t="str">
        <f aca="false">IF($A87="","",IF($Y87&lt;&gt;1,"INCOMPLET",IF(NOT(ISNUMBER($AM87)),"SANS RÉF. MARCHÉ",IF($AM87&lt;=Paramètres!$B$12,"OK",IF(AND($AO87&gt;=Paramètres!$B$15,$AN87&gt;=Paramètres!$B$16),"À REVOIR","NON RENTABLE")))))</f>
        <v/>
      </c>
      <c r="AQ87" s="18" t="str">
        <f aca="false">TRIM(IF(AND($Y87=1,ISNUMBER($N87)),IF($M87&lt;$N87,"MOQ ",""),"")&amp;IF(AND($Y87=1,ISNUMBER($O87)),IF($O87&lt;$I87*$M87,"DISPO ",""),"")&amp;IF($S87="O","FICTIF ","")&amp;IF($Y87=1,IF(AND($K87="TTC",$W87&lt;&gt;"CH"),"TVA-ÉTRANGÈRE ",""),""))</f>
        <v/>
      </c>
      <c r="AR87" s="18" t="str">
        <f aca="false">IF($Y87=1,COUNTIFS($A$6:$A$205,$A87,$AK$6:$AK$205,"&lt;"&amp;$AK87,$Y$6:$Y$205,1)+1,"")</f>
        <v/>
      </c>
      <c r="AS87" s="18" t="str">
        <f aca="false">IF(ISNUMBER($AR87),$A87&amp;"|"&amp;$AR87,"")</f>
        <v/>
      </c>
      <c r="AT87" s="27" t="str">
        <f aca="false">IF($Y87=1,$AK87*$I87*$M87,"")</f>
        <v/>
      </c>
    </row>
    <row r="88" customFormat="false" ht="15" hidden="false" customHeight="false" outlineLevel="0" collapsed="false">
      <c r="A88" s="9"/>
      <c r="B88" s="9"/>
      <c r="C88" s="9"/>
      <c r="D88" s="9"/>
      <c r="E88" s="9"/>
      <c r="F88" s="9"/>
      <c r="G88" s="9"/>
      <c r="H88" s="9"/>
      <c r="I88" s="9"/>
      <c r="J88" s="13"/>
      <c r="K88" s="9"/>
      <c r="L88" s="12"/>
      <c r="M88" s="9"/>
      <c r="N88" s="9"/>
      <c r="O88" s="9"/>
      <c r="P88" s="9"/>
      <c r="Q88" s="16"/>
      <c r="R88" s="13"/>
      <c r="S88" s="9"/>
      <c r="T88" s="18" t="str">
        <f aca="false">IF($C88="","",IFERROR(INDEX(Fournisseurs!$C$5:$C$24,MATCH($C88,Fournisseurs!$A$5:$A$24,0)),""))</f>
        <v/>
      </c>
      <c r="U88" s="25" t="str">
        <f aca="false">IF($C88="","",IFERROR(INDEX(Fournisseurs!$D$5:$D$24,MATCH($C88,Fournisseurs!$A$5:$A$24,0)),""))</f>
        <v/>
      </c>
      <c r="V88" s="26" t="str">
        <f aca="false">IF($C88="","",IFERROR(INDEX(Fournisseurs!$G$5:$G$24,MATCH($C88,Fournisseurs!$A$5:$A$24,0)),""))</f>
        <v/>
      </c>
      <c r="W88" s="18" t="str">
        <f aca="false">IF($C88="","",IFERROR(INDEX(Fournisseurs!$H$5:$H$24,MATCH($C88,Fournisseurs!$A$5:$A$24,0)),""))</f>
        <v/>
      </c>
      <c r="X88" s="18" t="str">
        <f aca="false">IF($C88="","",IFERROR(INDEX(Fournisseurs!$B$5:$B$24,MATCH($C88,Fournisseurs!$A$5:$A$24,0)),""))</f>
        <v/>
      </c>
      <c r="Y88" s="18" t="str">
        <f aca="false">IF($A88="","",IF(AND($A88&lt;&gt;"",$C88&lt;&gt;"",ISNUMBER($I88),ISNUMBER($J88),ISNUMBER($M88)),IF(AND($I88&gt;=1,$J88&gt;0,OR($K88="HT",$K88="TTC"),$M88&gt;=1,IFERROR(INDEX(Fournisseurs!$T$5:$T$24,MATCH($C88,Fournisseurs!$A$5:$A$24,0)),0)=1),1,0),0))</f>
        <v/>
      </c>
      <c r="Z88" s="27" t="str">
        <f aca="false">IF($Y88=1,$J88*(1-N($L88)),"")</f>
        <v/>
      </c>
      <c r="AA88" s="28" t="str">
        <f aca="false">IF($Y88=1,IF($K88="TTC",$Z88/(1+$V88),$Z88),"")</f>
        <v/>
      </c>
      <c r="AB88" s="28" t="str">
        <f aca="false">IF($Y88=1,IF($K88="TTC",$Z88-$AA88,$AA88*$V88),"")</f>
        <v/>
      </c>
      <c r="AC88" s="27" t="str">
        <f aca="false">IF($Y88=1,$AA88*$U88*$M88,"")</f>
        <v/>
      </c>
      <c r="AD88" s="26" t="str">
        <f aca="false">IF($Y88=1,$AC88/SUMIFS($AC$6:$AC$205,$C$6:$C$205,$C88,$Y$6:$Y$205,1),"")</f>
        <v/>
      </c>
      <c r="AE88" s="28" t="str">
        <f aca="false">IF($Y88=1,(INDEX(Fournisseurs!$J$5:$J$24,MATCH($C88,Fournisseurs!$A$5:$A$24,0))+INDEX(Fournisseurs!$K$5:$K$24,MATCH($C88,Fournisseurs!$A$5:$A$24,0)))*$U88*$AD88/($I88*$M88),"")</f>
        <v/>
      </c>
      <c r="AF88" s="28" t="str">
        <f aca="false">IF($Y88=1,INDEX(Fournisseurs!$L$5:$L$24,MATCH($C88,Fournisseurs!$A$5:$A$24,0))*$AD88/($I88*$M88),"")</f>
        <v/>
      </c>
      <c r="AG88" s="28" t="str">
        <f aca="false">IF($Y88=1,$AA88*$U88/$I88,"")</f>
        <v/>
      </c>
      <c r="AH88" s="28" t="str">
        <f aca="false">IF($Y88=1,$AB88*$U88/$I88,"")</f>
        <v/>
      </c>
      <c r="AI88" s="18" t="str">
        <f aca="false">IF($Y88=1,IF(AND(Paramètres!$B$4="EFFECTIVE",$W88="CH",$AB88&gt;0),1,0),"")</f>
        <v/>
      </c>
      <c r="AJ88" s="28" t="str">
        <f aca="false">IF($Y88=1,IF($X88&lt;&gt;"CH",($AG88+$AE88+$AF88)*Paramètres!$B$14,0),"")</f>
        <v/>
      </c>
      <c r="AK88" s="29" t="str">
        <f aca="false">IF($Y88=1,$AG88+IF($AI88=1,0,$AH88)+$AE88+$AF88+IF(Paramètres!$B$4="NOT_REGISTERED",$AJ88,0),"")</f>
        <v/>
      </c>
      <c r="AL88" s="27" t="str">
        <f aca="false">IF($Y88=1,($AK88+Paramètres!$B$7+Paramètres!$B$8+Paramètres!$B$9+Paramètres!$B$10)/((1-Paramètres!$B$11)/(1+Paramètres!$B$5)-Paramètres!$B$6),"")</f>
        <v/>
      </c>
      <c r="AM88" s="26" t="str">
        <f aca="false">IF(AND($Y88=1,ISNUMBER($R88)),IF($R88&gt;0,$AL88/$R88-1,""),"")</f>
        <v/>
      </c>
      <c r="AN88" s="27" t="str">
        <f aca="false">IF(AND($Y88=1,ISNUMBER($R88)),IF($R88&gt;0,$R88/(1+Paramètres!$B$5)-$AK88-($R88*Paramètres!$B$6+Paramètres!$B$7)-Paramètres!$B$8-Paramètres!$B$9-Paramètres!$B$10,""),"")</f>
        <v/>
      </c>
      <c r="AO88" s="26" t="str">
        <f aca="false">IF(ISNUMBER($AN88),$AN88/($R88/(1+Paramètres!$B$5)),"")</f>
        <v/>
      </c>
      <c r="AP88" s="30" t="str">
        <f aca="false">IF($A88="","",IF($Y88&lt;&gt;1,"INCOMPLET",IF(NOT(ISNUMBER($AM88)),"SANS RÉF. MARCHÉ",IF($AM88&lt;=Paramètres!$B$12,"OK",IF(AND($AO88&gt;=Paramètres!$B$15,$AN88&gt;=Paramètres!$B$16),"À REVOIR","NON RENTABLE")))))</f>
        <v/>
      </c>
      <c r="AQ88" s="18" t="str">
        <f aca="false">TRIM(IF(AND($Y88=1,ISNUMBER($N88)),IF($M88&lt;$N88,"MOQ ",""),"")&amp;IF(AND($Y88=1,ISNUMBER($O88)),IF($O88&lt;$I88*$M88,"DISPO ",""),"")&amp;IF($S88="O","FICTIF ","")&amp;IF($Y88=1,IF(AND($K88="TTC",$W88&lt;&gt;"CH"),"TVA-ÉTRANGÈRE ",""),""))</f>
        <v/>
      </c>
      <c r="AR88" s="18" t="str">
        <f aca="false">IF($Y88=1,COUNTIFS($A$6:$A$205,$A88,$AK$6:$AK$205,"&lt;"&amp;$AK88,$Y$6:$Y$205,1)+1,"")</f>
        <v/>
      </c>
      <c r="AS88" s="18" t="str">
        <f aca="false">IF(ISNUMBER($AR88),$A88&amp;"|"&amp;$AR88,"")</f>
        <v/>
      </c>
      <c r="AT88" s="27" t="str">
        <f aca="false">IF($Y88=1,$AK88*$I88*$M88,"")</f>
        <v/>
      </c>
    </row>
    <row r="89" customFormat="false" ht="15" hidden="false" customHeight="false" outlineLevel="0" collapsed="false">
      <c r="A89" s="9"/>
      <c r="B89" s="9"/>
      <c r="C89" s="9"/>
      <c r="D89" s="9"/>
      <c r="E89" s="9"/>
      <c r="F89" s="9"/>
      <c r="G89" s="9"/>
      <c r="H89" s="9"/>
      <c r="I89" s="9"/>
      <c r="J89" s="13"/>
      <c r="K89" s="9"/>
      <c r="L89" s="12"/>
      <c r="M89" s="9"/>
      <c r="N89" s="9"/>
      <c r="O89" s="9"/>
      <c r="P89" s="9"/>
      <c r="Q89" s="16"/>
      <c r="R89" s="13"/>
      <c r="S89" s="9"/>
      <c r="T89" s="18" t="str">
        <f aca="false">IF($C89="","",IFERROR(INDEX(Fournisseurs!$C$5:$C$24,MATCH($C89,Fournisseurs!$A$5:$A$24,0)),""))</f>
        <v/>
      </c>
      <c r="U89" s="25" t="str">
        <f aca="false">IF($C89="","",IFERROR(INDEX(Fournisseurs!$D$5:$D$24,MATCH($C89,Fournisseurs!$A$5:$A$24,0)),""))</f>
        <v/>
      </c>
      <c r="V89" s="26" t="str">
        <f aca="false">IF($C89="","",IFERROR(INDEX(Fournisseurs!$G$5:$G$24,MATCH($C89,Fournisseurs!$A$5:$A$24,0)),""))</f>
        <v/>
      </c>
      <c r="W89" s="18" t="str">
        <f aca="false">IF($C89="","",IFERROR(INDEX(Fournisseurs!$H$5:$H$24,MATCH($C89,Fournisseurs!$A$5:$A$24,0)),""))</f>
        <v/>
      </c>
      <c r="X89" s="18" t="str">
        <f aca="false">IF($C89="","",IFERROR(INDEX(Fournisseurs!$B$5:$B$24,MATCH($C89,Fournisseurs!$A$5:$A$24,0)),""))</f>
        <v/>
      </c>
      <c r="Y89" s="18" t="str">
        <f aca="false">IF($A89="","",IF(AND($A89&lt;&gt;"",$C89&lt;&gt;"",ISNUMBER($I89),ISNUMBER($J89),ISNUMBER($M89)),IF(AND($I89&gt;=1,$J89&gt;0,OR($K89="HT",$K89="TTC"),$M89&gt;=1,IFERROR(INDEX(Fournisseurs!$T$5:$T$24,MATCH($C89,Fournisseurs!$A$5:$A$24,0)),0)=1),1,0),0))</f>
        <v/>
      </c>
      <c r="Z89" s="27" t="str">
        <f aca="false">IF($Y89=1,$J89*(1-N($L89)),"")</f>
        <v/>
      </c>
      <c r="AA89" s="28" t="str">
        <f aca="false">IF($Y89=1,IF($K89="TTC",$Z89/(1+$V89),$Z89),"")</f>
        <v/>
      </c>
      <c r="AB89" s="28" t="str">
        <f aca="false">IF($Y89=1,IF($K89="TTC",$Z89-$AA89,$AA89*$V89),"")</f>
        <v/>
      </c>
      <c r="AC89" s="27" t="str">
        <f aca="false">IF($Y89=1,$AA89*$U89*$M89,"")</f>
        <v/>
      </c>
      <c r="AD89" s="26" t="str">
        <f aca="false">IF($Y89=1,$AC89/SUMIFS($AC$6:$AC$205,$C$6:$C$205,$C89,$Y$6:$Y$205,1),"")</f>
        <v/>
      </c>
      <c r="AE89" s="28" t="str">
        <f aca="false">IF($Y89=1,(INDEX(Fournisseurs!$J$5:$J$24,MATCH($C89,Fournisseurs!$A$5:$A$24,0))+INDEX(Fournisseurs!$K$5:$K$24,MATCH($C89,Fournisseurs!$A$5:$A$24,0)))*$U89*$AD89/($I89*$M89),"")</f>
        <v/>
      </c>
      <c r="AF89" s="28" t="str">
        <f aca="false">IF($Y89=1,INDEX(Fournisseurs!$L$5:$L$24,MATCH($C89,Fournisseurs!$A$5:$A$24,0))*$AD89/($I89*$M89),"")</f>
        <v/>
      </c>
      <c r="AG89" s="28" t="str">
        <f aca="false">IF($Y89=1,$AA89*$U89/$I89,"")</f>
        <v/>
      </c>
      <c r="AH89" s="28" t="str">
        <f aca="false">IF($Y89=1,$AB89*$U89/$I89,"")</f>
        <v/>
      </c>
      <c r="AI89" s="18" t="str">
        <f aca="false">IF($Y89=1,IF(AND(Paramètres!$B$4="EFFECTIVE",$W89="CH",$AB89&gt;0),1,0),"")</f>
        <v/>
      </c>
      <c r="AJ89" s="28" t="str">
        <f aca="false">IF($Y89=1,IF($X89&lt;&gt;"CH",($AG89+$AE89+$AF89)*Paramètres!$B$14,0),"")</f>
        <v/>
      </c>
      <c r="AK89" s="29" t="str">
        <f aca="false">IF($Y89=1,$AG89+IF($AI89=1,0,$AH89)+$AE89+$AF89+IF(Paramètres!$B$4="NOT_REGISTERED",$AJ89,0),"")</f>
        <v/>
      </c>
      <c r="AL89" s="27" t="str">
        <f aca="false">IF($Y89=1,($AK89+Paramètres!$B$7+Paramètres!$B$8+Paramètres!$B$9+Paramètres!$B$10)/((1-Paramètres!$B$11)/(1+Paramètres!$B$5)-Paramètres!$B$6),"")</f>
        <v/>
      </c>
      <c r="AM89" s="26" t="str">
        <f aca="false">IF(AND($Y89=1,ISNUMBER($R89)),IF($R89&gt;0,$AL89/$R89-1,""),"")</f>
        <v/>
      </c>
      <c r="AN89" s="27" t="str">
        <f aca="false">IF(AND($Y89=1,ISNUMBER($R89)),IF($R89&gt;0,$R89/(1+Paramètres!$B$5)-$AK89-($R89*Paramètres!$B$6+Paramètres!$B$7)-Paramètres!$B$8-Paramètres!$B$9-Paramètres!$B$10,""),"")</f>
        <v/>
      </c>
      <c r="AO89" s="26" t="str">
        <f aca="false">IF(ISNUMBER($AN89),$AN89/($R89/(1+Paramètres!$B$5)),"")</f>
        <v/>
      </c>
      <c r="AP89" s="30" t="str">
        <f aca="false">IF($A89="","",IF($Y89&lt;&gt;1,"INCOMPLET",IF(NOT(ISNUMBER($AM89)),"SANS RÉF. MARCHÉ",IF($AM89&lt;=Paramètres!$B$12,"OK",IF(AND($AO89&gt;=Paramètres!$B$15,$AN89&gt;=Paramètres!$B$16),"À REVOIR","NON RENTABLE")))))</f>
        <v/>
      </c>
      <c r="AQ89" s="18" t="str">
        <f aca="false">TRIM(IF(AND($Y89=1,ISNUMBER($N89)),IF($M89&lt;$N89,"MOQ ",""),"")&amp;IF(AND($Y89=1,ISNUMBER($O89)),IF($O89&lt;$I89*$M89,"DISPO ",""),"")&amp;IF($S89="O","FICTIF ","")&amp;IF($Y89=1,IF(AND($K89="TTC",$W89&lt;&gt;"CH"),"TVA-ÉTRANGÈRE ",""),""))</f>
        <v/>
      </c>
      <c r="AR89" s="18" t="str">
        <f aca="false">IF($Y89=1,COUNTIFS($A$6:$A$205,$A89,$AK$6:$AK$205,"&lt;"&amp;$AK89,$Y$6:$Y$205,1)+1,"")</f>
        <v/>
      </c>
      <c r="AS89" s="18" t="str">
        <f aca="false">IF(ISNUMBER($AR89),$A89&amp;"|"&amp;$AR89,"")</f>
        <v/>
      </c>
      <c r="AT89" s="27" t="str">
        <f aca="false">IF($Y89=1,$AK89*$I89*$M89,"")</f>
        <v/>
      </c>
    </row>
    <row r="90" customFormat="false" ht="15" hidden="false" customHeight="false" outlineLevel="0" collapsed="false">
      <c r="A90" s="9"/>
      <c r="B90" s="9"/>
      <c r="C90" s="9"/>
      <c r="D90" s="9"/>
      <c r="E90" s="9"/>
      <c r="F90" s="9"/>
      <c r="G90" s="9"/>
      <c r="H90" s="9"/>
      <c r="I90" s="9"/>
      <c r="J90" s="13"/>
      <c r="K90" s="9"/>
      <c r="L90" s="12"/>
      <c r="M90" s="9"/>
      <c r="N90" s="9"/>
      <c r="O90" s="9"/>
      <c r="P90" s="9"/>
      <c r="Q90" s="16"/>
      <c r="R90" s="13"/>
      <c r="S90" s="9"/>
      <c r="T90" s="18" t="str">
        <f aca="false">IF($C90="","",IFERROR(INDEX(Fournisseurs!$C$5:$C$24,MATCH($C90,Fournisseurs!$A$5:$A$24,0)),""))</f>
        <v/>
      </c>
      <c r="U90" s="25" t="str">
        <f aca="false">IF($C90="","",IFERROR(INDEX(Fournisseurs!$D$5:$D$24,MATCH($C90,Fournisseurs!$A$5:$A$24,0)),""))</f>
        <v/>
      </c>
      <c r="V90" s="26" t="str">
        <f aca="false">IF($C90="","",IFERROR(INDEX(Fournisseurs!$G$5:$G$24,MATCH($C90,Fournisseurs!$A$5:$A$24,0)),""))</f>
        <v/>
      </c>
      <c r="W90" s="18" t="str">
        <f aca="false">IF($C90="","",IFERROR(INDEX(Fournisseurs!$H$5:$H$24,MATCH($C90,Fournisseurs!$A$5:$A$24,0)),""))</f>
        <v/>
      </c>
      <c r="X90" s="18" t="str">
        <f aca="false">IF($C90="","",IFERROR(INDEX(Fournisseurs!$B$5:$B$24,MATCH($C90,Fournisseurs!$A$5:$A$24,0)),""))</f>
        <v/>
      </c>
      <c r="Y90" s="18" t="str">
        <f aca="false">IF($A90="","",IF(AND($A90&lt;&gt;"",$C90&lt;&gt;"",ISNUMBER($I90),ISNUMBER($J90),ISNUMBER($M90)),IF(AND($I90&gt;=1,$J90&gt;0,OR($K90="HT",$K90="TTC"),$M90&gt;=1,IFERROR(INDEX(Fournisseurs!$T$5:$T$24,MATCH($C90,Fournisseurs!$A$5:$A$24,0)),0)=1),1,0),0))</f>
        <v/>
      </c>
      <c r="Z90" s="27" t="str">
        <f aca="false">IF($Y90=1,$J90*(1-N($L90)),"")</f>
        <v/>
      </c>
      <c r="AA90" s="28" t="str">
        <f aca="false">IF($Y90=1,IF($K90="TTC",$Z90/(1+$V90),$Z90),"")</f>
        <v/>
      </c>
      <c r="AB90" s="28" t="str">
        <f aca="false">IF($Y90=1,IF($K90="TTC",$Z90-$AA90,$AA90*$V90),"")</f>
        <v/>
      </c>
      <c r="AC90" s="27" t="str">
        <f aca="false">IF($Y90=1,$AA90*$U90*$M90,"")</f>
        <v/>
      </c>
      <c r="AD90" s="26" t="str">
        <f aca="false">IF($Y90=1,$AC90/SUMIFS($AC$6:$AC$205,$C$6:$C$205,$C90,$Y$6:$Y$205,1),"")</f>
        <v/>
      </c>
      <c r="AE90" s="28" t="str">
        <f aca="false">IF($Y90=1,(INDEX(Fournisseurs!$J$5:$J$24,MATCH($C90,Fournisseurs!$A$5:$A$24,0))+INDEX(Fournisseurs!$K$5:$K$24,MATCH($C90,Fournisseurs!$A$5:$A$24,0)))*$U90*$AD90/($I90*$M90),"")</f>
        <v/>
      </c>
      <c r="AF90" s="28" t="str">
        <f aca="false">IF($Y90=1,INDEX(Fournisseurs!$L$5:$L$24,MATCH($C90,Fournisseurs!$A$5:$A$24,0))*$AD90/($I90*$M90),"")</f>
        <v/>
      </c>
      <c r="AG90" s="28" t="str">
        <f aca="false">IF($Y90=1,$AA90*$U90/$I90,"")</f>
        <v/>
      </c>
      <c r="AH90" s="28" t="str">
        <f aca="false">IF($Y90=1,$AB90*$U90/$I90,"")</f>
        <v/>
      </c>
      <c r="AI90" s="18" t="str">
        <f aca="false">IF($Y90=1,IF(AND(Paramètres!$B$4="EFFECTIVE",$W90="CH",$AB90&gt;0),1,0),"")</f>
        <v/>
      </c>
      <c r="AJ90" s="28" t="str">
        <f aca="false">IF($Y90=1,IF($X90&lt;&gt;"CH",($AG90+$AE90+$AF90)*Paramètres!$B$14,0),"")</f>
        <v/>
      </c>
      <c r="AK90" s="29" t="str">
        <f aca="false">IF($Y90=1,$AG90+IF($AI90=1,0,$AH90)+$AE90+$AF90+IF(Paramètres!$B$4="NOT_REGISTERED",$AJ90,0),"")</f>
        <v/>
      </c>
      <c r="AL90" s="27" t="str">
        <f aca="false">IF($Y90=1,($AK90+Paramètres!$B$7+Paramètres!$B$8+Paramètres!$B$9+Paramètres!$B$10)/((1-Paramètres!$B$11)/(1+Paramètres!$B$5)-Paramètres!$B$6),"")</f>
        <v/>
      </c>
      <c r="AM90" s="26" t="str">
        <f aca="false">IF(AND($Y90=1,ISNUMBER($R90)),IF($R90&gt;0,$AL90/$R90-1,""),"")</f>
        <v/>
      </c>
      <c r="AN90" s="27" t="str">
        <f aca="false">IF(AND($Y90=1,ISNUMBER($R90)),IF($R90&gt;0,$R90/(1+Paramètres!$B$5)-$AK90-($R90*Paramètres!$B$6+Paramètres!$B$7)-Paramètres!$B$8-Paramètres!$B$9-Paramètres!$B$10,""),"")</f>
        <v/>
      </c>
      <c r="AO90" s="26" t="str">
        <f aca="false">IF(ISNUMBER($AN90),$AN90/($R90/(1+Paramètres!$B$5)),"")</f>
        <v/>
      </c>
      <c r="AP90" s="30" t="str">
        <f aca="false">IF($A90="","",IF($Y90&lt;&gt;1,"INCOMPLET",IF(NOT(ISNUMBER($AM90)),"SANS RÉF. MARCHÉ",IF($AM90&lt;=Paramètres!$B$12,"OK",IF(AND($AO90&gt;=Paramètres!$B$15,$AN90&gt;=Paramètres!$B$16),"À REVOIR","NON RENTABLE")))))</f>
        <v/>
      </c>
      <c r="AQ90" s="18" t="str">
        <f aca="false">TRIM(IF(AND($Y90=1,ISNUMBER($N90)),IF($M90&lt;$N90,"MOQ ",""),"")&amp;IF(AND($Y90=1,ISNUMBER($O90)),IF($O90&lt;$I90*$M90,"DISPO ",""),"")&amp;IF($S90="O","FICTIF ","")&amp;IF($Y90=1,IF(AND($K90="TTC",$W90&lt;&gt;"CH"),"TVA-ÉTRANGÈRE ",""),""))</f>
        <v/>
      </c>
      <c r="AR90" s="18" t="str">
        <f aca="false">IF($Y90=1,COUNTIFS($A$6:$A$205,$A90,$AK$6:$AK$205,"&lt;"&amp;$AK90,$Y$6:$Y$205,1)+1,"")</f>
        <v/>
      </c>
      <c r="AS90" s="18" t="str">
        <f aca="false">IF(ISNUMBER($AR90),$A90&amp;"|"&amp;$AR90,"")</f>
        <v/>
      </c>
      <c r="AT90" s="27" t="str">
        <f aca="false">IF($Y90=1,$AK90*$I90*$M90,"")</f>
        <v/>
      </c>
    </row>
    <row r="91" customFormat="false" ht="15" hidden="false" customHeight="false" outlineLevel="0" collapsed="false">
      <c r="A91" s="9"/>
      <c r="B91" s="9"/>
      <c r="C91" s="9"/>
      <c r="D91" s="9"/>
      <c r="E91" s="9"/>
      <c r="F91" s="9"/>
      <c r="G91" s="9"/>
      <c r="H91" s="9"/>
      <c r="I91" s="9"/>
      <c r="J91" s="13"/>
      <c r="K91" s="9"/>
      <c r="L91" s="12"/>
      <c r="M91" s="9"/>
      <c r="N91" s="9"/>
      <c r="O91" s="9"/>
      <c r="P91" s="9"/>
      <c r="Q91" s="16"/>
      <c r="R91" s="13"/>
      <c r="S91" s="9"/>
      <c r="T91" s="18" t="str">
        <f aca="false">IF($C91="","",IFERROR(INDEX(Fournisseurs!$C$5:$C$24,MATCH($C91,Fournisseurs!$A$5:$A$24,0)),""))</f>
        <v/>
      </c>
      <c r="U91" s="25" t="str">
        <f aca="false">IF($C91="","",IFERROR(INDEX(Fournisseurs!$D$5:$D$24,MATCH($C91,Fournisseurs!$A$5:$A$24,0)),""))</f>
        <v/>
      </c>
      <c r="V91" s="26" t="str">
        <f aca="false">IF($C91="","",IFERROR(INDEX(Fournisseurs!$G$5:$G$24,MATCH($C91,Fournisseurs!$A$5:$A$24,0)),""))</f>
        <v/>
      </c>
      <c r="W91" s="18" t="str">
        <f aca="false">IF($C91="","",IFERROR(INDEX(Fournisseurs!$H$5:$H$24,MATCH($C91,Fournisseurs!$A$5:$A$24,0)),""))</f>
        <v/>
      </c>
      <c r="X91" s="18" t="str">
        <f aca="false">IF($C91="","",IFERROR(INDEX(Fournisseurs!$B$5:$B$24,MATCH($C91,Fournisseurs!$A$5:$A$24,0)),""))</f>
        <v/>
      </c>
      <c r="Y91" s="18" t="str">
        <f aca="false">IF($A91="","",IF(AND($A91&lt;&gt;"",$C91&lt;&gt;"",ISNUMBER($I91),ISNUMBER($J91),ISNUMBER($M91)),IF(AND($I91&gt;=1,$J91&gt;0,OR($K91="HT",$K91="TTC"),$M91&gt;=1,IFERROR(INDEX(Fournisseurs!$T$5:$T$24,MATCH($C91,Fournisseurs!$A$5:$A$24,0)),0)=1),1,0),0))</f>
        <v/>
      </c>
      <c r="Z91" s="27" t="str">
        <f aca="false">IF($Y91=1,$J91*(1-N($L91)),"")</f>
        <v/>
      </c>
      <c r="AA91" s="28" t="str">
        <f aca="false">IF($Y91=1,IF($K91="TTC",$Z91/(1+$V91),$Z91),"")</f>
        <v/>
      </c>
      <c r="AB91" s="28" t="str">
        <f aca="false">IF($Y91=1,IF($K91="TTC",$Z91-$AA91,$AA91*$V91),"")</f>
        <v/>
      </c>
      <c r="AC91" s="27" t="str">
        <f aca="false">IF($Y91=1,$AA91*$U91*$M91,"")</f>
        <v/>
      </c>
      <c r="AD91" s="26" t="str">
        <f aca="false">IF($Y91=1,$AC91/SUMIFS($AC$6:$AC$205,$C$6:$C$205,$C91,$Y$6:$Y$205,1),"")</f>
        <v/>
      </c>
      <c r="AE91" s="28" t="str">
        <f aca="false">IF($Y91=1,(INDEX(Fournisseurs!$J$5:$J$24,MATCH($C91,Fournisseurs!$A$5:$A$24,0))+INDEX(Fournisseurs!$K$5:$K$24,MATCH($C91,Fournisseurs!$A$5:$A$24,0)))*$U91*$AD91/($I91*$M91),"")</f>
        <v/>
      </c>
      <c r="AF91" s="28" t="str">
        <f aca="false">IF($Y91=1,INDEX(Fournisseurs!$L$5:$L$24,MATCH($C91,Fournisseurs!$A$5:$A$24,0))*$AD91/($I91*$M91),"")</f>
        <v/>
      </c>
      <c r="AG91" s="28" t="str">
        <f aca="false">IF($Y91=1,$AA91*$U91/$I91,"")</f>
        <v/>
      </c>
      <c r="AH91" s="28" t="str">
        <f aca="false">IF($Y91=1,$AB91*$U91/$I91,"")</f>
        <v/>
      </c>
      <c r="AI91" s="18" t="str">
        <f aca="false">IF($Y91=1,IF(AND(Paramètres!$B$4="EFFECTIVE",$W91="CH",$AB91&gt;0),1,0),"")</f>
        <v/>
      </c>
      <c r="AJ91" s="28" t="str">
        <f aca="false">IF($Y91=1,IF($X91&lt;&gt;"CH",($AG91+$AE91+$AF91)*Paramètres!$B$14,0),"")</f>
        <v/>
      </c>
      <c r="AK91" s="29" t="str">
        <f aca="false">IF($Y91=1,$AG91+IF($AI91=1,0,$AH91)+$AE91+$AF91+IF(Paramètres!$B$4="NOT_REGISTERED",$AJ91,0),"")</f>
        <v/>
      </c>
      <c r="AL91" s="27" t="str">
        <f aca="false">IF($Y91=1,($AK91+Paramètres!$B$7+Paramètres!$B$8+Paramètres!$B$9+Paramètres!$B$10)/((1-Paramètres!$B$11)/(1+Paramètres!$B$5)-Paramètres!$B$6),"")</f>
        <v/>
      </c>
      <c r="AM91" s="26" t="str">
        <f aca="false">IF(AND($Y91=1,ISNUMBER($R91)),IF($R91&gt;0,$AL91/$R91-1,""),"")</f>
        <v/>
      </c>
      <c r="AN91" s="27" t="str">
        <f aca="false">IF(AND($Y91=1,ISNUMBER($R91)),IF($R91&gt;0,$R91/(1+Paramètres!$B$5)-$AK91-($R91*Paramètres!$B$6+Paramètres!$B$7)-Paramètres!$B$8-Paramètres!$B$9-Paramètres!$B$10,""),"")</f>
        <v/>
      </c>
      <c r="AO91" s="26" t="str">
        <f aca="false">IF(ISNUMBER($AN91),$AN91/($R91/(1+Paramètres!$B$5)),"")</f>
        <v/>
      </c>
      <c r="AP91" s="30" t="str">
        <f aca="false">IF($A91="","",IF($Y91&lt;&gt;1,"INCOMPLET",IF(NOT(ISNUMBER($AM91)),"SANS RÉF. MARCHÉ",IF($AM91&lt;=Paramètres!$B$12,"OK",IF(AND($AO91&gt;=Paramètres!$B$15,$AN91&gt;=Paramètres!$B$16),"À REVOIR","NON RENTABLE")))))</f>
        <v/>
      </c>
      <c r="AQ91" s="18" t="str">
        <f aca="false">TRIM(IF(AND($Y91=1,ISNUMBER($N91)),IF($M91&lt;$N91,"MOQ ",""),"")&amp;IF(AND($Y91=1,ISNUMBER($O91)),IF($O91&lt;$I91*$M91,"DISPO ",""),"")&amp;IF($S91="O","FICTIF ","")&amp;IF($Y91=1,IF(AND($K91="TTC",$W91&lt;&gt;"CH"),"TVA-ÉTRANGÈRE ",""),""))</f>
        <v/>
      </c>
      <c r="AR91" s="18" t="str">
        <f aca="false">IF($Y91=1,COUNTIFS($A$6:$A$205,$A91,$AK$6:$AK$205,"&lt;"&amp;$AK91,$Y$6:$Y$205,1)+1,"")</f>
        <v/>
      </c>
      <c r="AS91" s="18" t="str">
        <f aca="false">IF(ISNUMBER($AR91),$A91&amp;"|"&amp;$AR91,"")</f>
        <v/>
      </c>
      <c r="AT91" s="27" t="str">
        <f aca="false">IF($Y91=1,$AK91*$I91*$M91,"")</f>
        <v/>
      </c>
    </row>
    <row r="92" customFormat="false" ht="15" hidden="false" customHeight="false" outlineLevel="0" collapsed="false">
      <c r="A92" s="9"/>
      <c r="B92" s="9"/>
      <c r="C92" s="9"/>
      <c r="D92" s="9"/>
      <c r="E92" s="9"/>
      <c r="F92" s="9"/>
      <c r="G92" s="9"/>
      <c r="H92" s="9"/>
      <c r="I92" s="9"/>
      <c r="J92" s="13"/>
      <c r="K92" s="9"/>
      <c r="L92" s="12"/>
      <c r="M92" s="9"/>
      <c r="N92" s="9"/>
      <c r="O92" s="9"/>
      <c r="P92" s="9"/>
      <c r="Q92" s="16"/>
      <c r="R92" s="13"/>
      <c r="S92" s="9"/>
      <c r="T92" s="18" t="str">
        <f aca="false">IF($C92="","",IFERROR(INDEX(Fournisseurs!$C$5:$C$24,MATCH($C92,Fournisseurs!$A$5:$A$24,0)),""))</f>
        <v/>
      </c>
      <c r="U92" s="25" t="str">
        <f aca="false">IF($C92="","",IFERROR(INDEX(Fournisseurs!$D$5:$D$24,MATCH($C92,Fournisseurs!$A$5:$A$24,0)),""))</f>
        <v/>
      </c>
      <c r="V92" s="26" t="str">
        <f aca="false">IF($C92="","",IFERROR(INDEX(Fournisseurs!$G$5:$G$24,MATCH($C92,Fournisseurs!$A$5:$A$24,0)),""))</f>
        <v/>
      </c>
      <c r="W92" s="18" t="str">
        <f aca="false">IF($C92="","",IFERROR(INDEX(Fournisseurs!$H$5:$H$24,MATCH($C92,Fournisseurs!$A$5:$A$24,0)),""))</f>
        <v/>
      </c>
      <c r="X92" s="18" t="str">
        <f aca="false">IF($C92="","",IFERROR(INDEX(Fournisseurs!$B$5:$B$24,MATCH($C92,Fournisseurs!$A$5:$A$24,0)),""))</f>
        <v/>
      </c>
      <c r="Y92" s="18" t="str">
        <f aca="false">IF($A92="","",IF(AND($A92&lt;&gt;"",$C92&lt;&gt;"",ISNUMBER($I92),ISNUMBER($J92),ISNUMBER($M92)),IF(AND($I92&gt;=1,$J92&gt;0,OR($K92="HT",$K92="TTC"),$M92&gt;=1,IFERROR(INDEX(Fournisseurs!$T$5:$T$24,MATCH($C92,Fournisseurs!$A$5:$A$24,0)),0)=1),1,0),0))</f>
        <v/>
      </c>
      <c r="Z92" s="27" t="str">
        <f aca="false">IF($Y92=1,$J92*(1-N($L92)),"")</f>
        <v/>
      </c>
      <c r="AA92" s="28" t="str">
        <f aca="false">IF($Y92=1,IF($K92="TTC",$Z92/(1+$V92),$Z92),"")</f>
        <v/>
      </c>
      <c r="AB92" s="28" t="str">
        <f aca="false">IF($Y92=1,IF($K92="TTC",$Z92-$AA92,$AA92*$V92),"")</f>
        <v/>
      </c>
      <c r="AC92" s="27" t="str">
        <f aca="false">IF($Y92=1,$AA92*$U92*$M92,"")</f>
        <v/>
      </c>
      <c r="AD92" s="26" t="str">
        <f aca="false">IF($Y92=1,$AC92/SUMIFS($AC$6:$AC$205,$C$6:$C$205,$C92,$Y$6:$Y$205,1),"")</f>
        <v/>
      </c>
      <c r="AE92" s="28" t="str">
        <f aca="false">IF($Y92=1,(INDEX(Fournisseurs!$J$5:$J$24,MATCH($C92,Fournisseurs!$A$5:$A$24,0))+INDEX(Fournisseurs!$K$5:$K$24,MATCH($C92,Fournisseurs!$A$5:$A$24,0)))*$U92*$AD92/($I92*$M92),"")</f>
        <v/>
      </c>
      <c r="AF92" s="28" t="str">
        <f aca="false">IF($Y92=1,INDEX(Fournisseurs!$L$5:$L$24,MATCH($C92,Fournisseurs!$A$5:$A$24,0))*$AD92/($I92*$M92),"")</f>
        <v/>
      </c>
      <c r="AG92" s="28" t="str">
        <f aca="false">IF($Y92=1,$AA92*$U92/$I92,"")</f>
        <v/>
      </c>
      <c r="AH92" s="28" t="str">
        <f aca="false">IF($Y92=1,$AB92*$U92/$I92,"")</f>
        <v/>
      </c>
      <c r="AI92" s="18" t="str">
        <f aca="false">IF($Y92=1,IF(AND(Paramètres!$B$4="EFFECTIVE",$W92="CH",$AB92&gt;0),1,0),"")</f>
        <v/>
      </c>
      <c r="AJ92" s="28" t="str">
        <f aca="false">IF($Y92=1,IF($X92&lt;&gt;"CH",($AG92+$AE92+$AF92)*Paramètres!$B$14,0),"")</f>
        <v/>
      </c>
      <c r="AK92" s="29" t="str">
        <f aca="false">IF($Y92=1,$AG92+IF($AI92=1,0,$AH92)+$AE92+$AF92+IF(Paramètres!$B$4="NOT_REGISTERED",$AJ92,0),"")</f>
        <v/>
      </c>
      <c r="AL92" s="27" t="str">
        <f aca="false">IF($Y92=1,($AK92+Paramètres!$B$7+Paramètres!$B$8+Paramètres!$B$9+Paramètres!$B$10)/((1-Paramètres!$B$11)/(1+Paramètres!$B$5)-Paramètres!$B$6),"")</f>
        <v/>
      </c>
      <c r="AM92" s="26" t="str">
        <f aca="false">IF(AND($Y92=1,ISNUMBER($R92)),IF($R92&gt;0,$AL92/$R92-1,""),"")</f>
        <v/>
      </c>
      <c r="AN92" s="27" t="str">
        <f aca="false">IF(AND($Y92=1,ISNUMBER($R92)),IF($R92&gt;0,$R92/(1+Paramètres!$B$5)-$AK92-($R92*Paramètres!$B$6+Paramètres!$B$7)-Paramètres!$B$8-Paramètres!$B$9-Paramètres!$B$10,""),"")</f>
        <v/>
      </c>
      <c r="AO92" s="26" t="str">
        <f aca="false">IF(ISNUMBER($AN92),$AN92/($R92/(1+Paramètres!$B$5)),"")</f>
        <v/>
      </c>
      <c r="AP92" s="30" t="str">
        <f aca="false">IF($A92="","",IF($Y92&lt;&gt;1,"INCOMPLET",IF(NOT(ISNUMBER($AM92)),"SANS RÉF. MARCHÉ",IF($AM92&lt;=Paramètres!$B$12,"OK",IF(AND($AO92&gt;=Paramètres!$B$15,$AN92&gt;=Paramètres!$B$16),"À REVOIR","NON RENTABLE")))))</f>
        <v/>
      </c>
      <c r="AQ92" s="18" t="str">
        <f aca="false">TRIM(IF(AND($Y92=1,ISNUMBER($N92)),IF($M92&lt;$N92,"MOQ ",""),"")&amp;IF(AND($Y92=1,ISNUMBER($O92)),IF($O92&lt;$I92*$M92,"DISPO ",""),"")&amp;IF($S92="O","FICTIF ","")&amp;IF($Y92=1,IF(AND($K92="TTC",$W92&lt;&gt;"CH"),"TVA-ÉTRANGÈRE ",""),""))</f>
        <v/>
      </c>
      <c r="AR92" s="18" t="str">
        <f aca="false">IF($Y92=1,COUNTIFS($A$6:$A$205,$A92,$AK$6:$AK$205,"&lt;"&amp;$AK92,$Y$6:$Y$205,1)+1,"")</f>
        <v/>
      </c>
      <c r="AS92" s="18" t="str">
        <f aca="false">IF(ISNUMBER($AR92),$A92&amp;"|"&amp;$AR92,"")</f>
        <v/>
      </c>
      <c r="AT92" s="27" t="str">
        <f aca="false">IF($Y92=1,$AK92*$I92*$M92,"")</f>
        <v/>
      </c>
    </row>
    <row r="93" customFormat="false" ht="15" hidden="false" customHeight="false" outlineLevel="0" collapsed="false">
      <c r="A93" s="9"/>
      <c r="B93" s="9"/>
      <c r="C93" s="9"/>
      <c r="D93" s="9"/>
      <c r="E93" s="9"/>
      <c r="F93" s="9"/>
      <c r="G93" s="9"/>
      <c r="H93" s="9"/>
      <c r="I93" s="9"/>
      <c r="J93" s="13"/>
      <c r="K93" s="9"/>
      <c r="L93" s="12"/>
      <c r="M93" s="9"/>
      <c r="N93" s="9"/>
      <c r="O93" s="9"/>
      <c r="P93" s="9"/>
      <c r="Q93" s="16"/>
      <c r="R93" s="13"/>
      <c r="S93" s="9"/>
      <c r="T93" s="18" t="str">
        <f aca="false">IF($C93="","",IFERROR(INDEX(Fournisseurs!$C$5:$C$24,MATCH($C93,Fournisseurs!$A$5:$A$24,0)),""))</f>
        <v/>
      </c>
      <c r="U93" s="25" t="str">
        <f aca="false">IF($C93="","",IFERROR(INDEX(Fournisseurs!$D$5:$D$24,MATCH($C93,Fournisseurs!$A$5:$A$24,0)),""))</f>
        <v/>
      </c>
      <c r="V93" s="26" t="str">
        <f aca="false">IF($C93="","",IFERROR(INDEX(Fournisseurs!$G$5:$G$24,MATCH($C93,Fournisseurs!$A$5:$A$24,0)),""))</f>
        <v/>
      </c>
      <c r="W93" s="18" t="str">
        <f aca="false">IF($C93="","",IFERROR(INDEX(Fournisseurs!$H$5:$H$24,MATCH($C93,Fournisseurs!$A$5:$A$24,0)),""))</f>
        <v/>
      </c>
      <c r="X93" s="18" t="str">
        <f aca="false">IF($C93="","",IFERROR(INDEX(Fournisseurs!$B$5:$B$24,MATCH($C93,Fournisseurs!$A$5:$A$24,0)),""))</f>
        <v/>
      </c>
      <c r="Y93" s="18" t="str">
        <f aca="false">IF($A93="","",IF(AND($A93&lt;&gt;"",$C93&lt;&gt;"",ISNUMBER($I93),ISNUMBER($J93),ISNUMBER($M93)),IF(AND($I93&gt;=1,$J93&gt;0,OR($K93="HT",$K93="TTC"),$M93&gt;=1,IFERROR(INDEX(Fournisseurs!$T$5:$T$24,MATCH($C93,Fournisseurs!$A$5:$A$24,0)),0)=1),1,0),0))</f>
        <v/>
      </c>
      <c r="Z93" s="27" t="str">
        <f aca="false">IF($Y93=1,$J93*(1-N($L93)),"")</f>
        <v/>
      </c>
      <c r="AA93" s="28" t="str">
        <f aca="false">IF($Y93=1,IF($K93="TTC",$Z93/(1+$V93),$Z93),"")</f>
        <v/>
      </c>
      <c r="AB93" s="28" t="str">
        <f aca="false">IF($Y93=1,IF($K93="TTC",$Z93-$AA93,$AA93*$V93),"")</f>
        <v/>
      </c>
      <c r="AC93" s="27" t="str">
        <f aca="false">IF($Y93=1,$AA93*$U93*$M93,"")</f>
        <v/>
      </c>
      <c r="AD93" s="26" t="str">
        <f aca="false">IF($Y93=1,$AC93/SUMIFS($AC$6:$AC$205,$C$6:$C$205,$C93,$Y$6:$Y$205,1),"")</f>
        <v/>
      </c>
      <c r="AE93" s="28" t="str">
        <f aca="false">IF($Y93=1,(INDEX(Fournisseurs!$J$5:$J$24,MATCH($C93,Fournisseurs!$A$5:$A$24,0))+INDEX(Fournisseurs!$K$5:$K$24,MATCH($C93,Fournisseurs!$A$5:$A$24,0)))*$U93*$AD93/($I93*$M93),"")</f>
        <v/>
      </c>
      <c r="AF93" s="28" t="str">
        <f aca="false">IF($Y93=1,INDEX(Fournisseurs!$L$5:$L$24,MATCH($C93,Fournisseurs!$A$5:$A$24,0))*$AD93/($I93*$M93),"")</f>
        <v/>
      </c>
      <c r="AG93" s="28" t="str">
        <f aca="false">IF($Y93=1,$AA93*$U93/$I93,"")</f>
        <v/>
      </c>
      <c r="AH93" s="28" t="str">
        <f aca="false">IF($Y93=1,$AB93*$U93/$I93,"")</f>
        <v/>
      </c>
      <c r="AI93" s="18" t="str">
        <f aca="false">IF($Y93=1,IF(AND(Paramètres!$B$4="EFFECTIVE",$W93="CH",$AB93&gt;0),1,0),"")</f>
        <v/>
      </c>
      <c r="AJ93" s="28" t="str">
        <f aca="false">IF($Y93=1,IF($X93&lt;&gt;"CH",($AG93+$AE93+$AF93)*Paramètres!$B$14,0),"")</f>
        <v/>
      </c>
      <c r="AK93" s="29" t="str">
        <f aca="false">IF($Y93=1,$AG93+IF($AI93=1,0,$AH93)+$AE93+$AF93+IF(Paramètres!$B$4="NOT_REGISTERED",$AJ93,0),"")</f>
        <v/>
      </c>
      <c r="AL93" s="27" t="str">
        <f aca="false">IF($Y93=1,($AK93+Paramètres!$B$7+Paramètres!$B$8+Paramètres!$B$9+Paramètres!$B$10)/((1-Paramètres!$B$11)/(1+Paramètres!$B$5)-Paramètres!$B$6),"")</f>
        <v/>
      </c>
      <c r="AM93" s="26" t="str">
        <f aca="false">IF(AND($Y93=1,ISNUMBER($R93)),IF($R93&gt;0,$AL93/$R93-1,""),"")</f>
        <v/>
      </c>
      <c r="AN93" s="27" t="str">
        <f aca="false">IF(AND($Y93=1,ISNUMBER($R93)),IF($R93&gt;0,$R93/(1+Paramètres!$B$5)-$AK93-($R93*Paramètres!$B$6+Paramètres!$B$7)-Paramètres!$B$8-Paramètres!$B$9-Paramètres!$B$10,""),"")</f>
        <v/>
      </c>
      <c r="AO93" s="26" t="str">
        <f aca="false">IF(ISNUMBER($AN93),$AN93/($R93/(1+Paramètres!$B$5)),"")</f>
        <v/>
      </c>
      <c r="AP93" s="30" t="str">
        <f aca="false">IF($A93="","",IF($Y93&lt;&gt;1,"INCOMPLET",IF(NOT(ISNUMBER($AM93)),"SANS RÉF. MARCHÉ",IF($AM93&lt;=Paramètres!$B$12,"OK",IF(AND($AO93&gt;=Paramètres!$B$15,$AN93&gt;=Paramètres!$B$16),"À REVOIR","NON RENTABLE")))))</f>
        <v/>
      </c>
      <c r="AQ93" s="18" t="str">
        <f aca="false">TRIM(IF(AND($Y93=1,ISNUMBER($N93)),IF($M93&lt;$N93,"MOQ ",""),"")&amp;IF(AND($Y93=1,ISNUMBER($O93)),IF($O93&lt;$I93*$M93,"DISPO ",""),"")&amp;IF($S93="O","FICTIF ","")&amp;IF($Y93=1,IF(AND($K93="TTC",$W93&lt;&gt;"CH"),"TVA-ÉTRANGÈRE ",""),""))</f>
        <v/>
      </c>
      <c r="AR93" s="18" t="str">
        <f aca="false">IF($Y93=1,COUNTIFS($A$6:$A$205,$A93,$AK$6:$AK$205,"&lt;"&amp;$AK93,$Y$6:$Y$205,1)+1,"")</f>
        <v/>
      </c>
      <c r="AS93" s="18" t="str">
        <f aca="false">IF(ISNUMBER($AR93),$A93&amp;"|"&amp;$AR93,"")</f>
        <v/>
      </c>
      <c r="AT93" s="27" t="str">
        <f aca="false">IF($Y93=1,$AK93*$I93*$M93,"")</f>
        <v/>
      </c>
    </row>
    <row r="94" customFormat="false" ht="15" hidden="false" customHeight="false" outlineLevel="0" collapsed="false">
      <c r="A94" s="9"/>
      <c r="B94" s="9"/>
      <c r="C94" s="9"/>
      <c r="D94" s="9"/>
      <c r="E94" s="9"/>
      <c r="F94" s="9"/>
      <c r="G94" s="9"/>
      <c r="H94" s="9"/>
      <c r="I94" s="9"/>
      <c r="J94" s="13"/>
      <c r="K94" s="9"/>
      <c r="L94" s="12"/>
      <c r="M94" s="9"/>
      <c r="N94" s="9"/>
      <c r="O94" s="9"/>
      <c r="P94" s="9"/>
      <c r="Q94" s="16"/>
      <c r="R94" s="13"/>
      <c r="S94" s="9"/>
      <c r="T94" s="18" t="str">
        <f aca="false">IF($C94="","",IFERROR(INDEX(Fournisseurs!$C$5:$C$24,MATCH($C94,Fournisseurs!$A$5:$A$24,0)),""))</f>
        <v/>
      </c>
      <c r="U94" s="25" t="str">
        <f aca="false">IF($C94="","",IFERROR(INDEX(Fournisseurs!$D$5:$D$24,MATCH($C94,Fournisseurs!$A$5:$A$24,0)),""))</f>
        <v/>
      </c>
      <c r="V94" s="26" t="str">
        <f aca="false">IF($C94="","",IFERROR(INDEX(Fournisseurs!$G$5:$G$24,MATCH($C94,Fournisseurs!$A$5:$A$24,0)),""))</f>
        <v/>
      </c>
      <c r="W94" s="18" t="str">
        <f aca="false">IF($C94="","",IFERROR(INDEX(Fournisseurs!$H$5:$H$24,MATCH($C94,Fournisseurs!$A$5:$A$24,0)),""))</f>
        <v/>
      </c>
      <c r="X94" s="18" t="str">
        <f aca="false">IF($C94="","",IFERROR(INDEX(Fournisseurs!$B$5:$B$24,MATCH($C94,Fournisseurs!$A$5:$A$24,0)),""))</f>
        <v/>
      </c>
      <c r="Y94" s="18" t="str">
        <f aca="false">IF($A94="","",IF(AND($A94&lt;&gt;"",$C94&lt;&gt;"",ISNUMBER($I94),ISNUMBER($J94),ISNUMBER($M94)),IF(AND($I94&gt;=1,$J94&gt;0,OR($K94="HT",$K94="TTC"),$M94&gt;=1,IFERROR(INDEX(Fournisseurs!$T$5:$T$24,MATCH($C94,Fournisseurs!$A$5:$A$24,0)),0)=1),1,0),0))</f>
        <v/>
      </c>
      <c r="Z94" s="27" t="str">
        <f aca="false">IF($Y94=1,$J94*(1-N($L94)),"")</f>
        <v/>
      </c>
      <c r="AA94" s="28" t="str">
        <f aca="false">IF($Y94=1,IF($K94="TTC",$Z94/(1+$V94),$Z94),"")</f>
        <v/>
      </c>
      <c r="AB94" s="28" t="str">
        <f aca="false">IF($Y94=1,IF($K94="TTC",$Z94-$AA94,$AA94*$V94),"")</f>
        <v/>
      </c>
      <c r="AC94" s="27" t="str">
        <f aca="false">IF($Y94=1,$AA94*$U94*$M94,"")</f>
        <v/>
      </c>
      <c r="AD94" s="26" t="str">
        <f aca="false">IF($Y94=1,$AC94/SUMIFS($AC$6:$AC$205,$C$6:$C$205,$C94,$Y$6:$Y$205,1),"")</f>
        <v/>
      </c>
      <c r="AE94" s="28" t="str">
        <f aca="false">IF($Y94=1,(INDEX(Fournisseurs!$J$5:$J$24,MATCH($C94,Fournisseurs!$A$5:$A$24,0))+INDEX(Fournisseurs!$K$5:$K$24,MATCH($C94,Fournisseurs!$A$5:$A$24,0)))*$U94*$AD94/($I94*$M94),"")</f>
        <v/>
      </c>
      <c r="AF94" s="28" t="str">
        <f aca="false">IF($Y94=1,INDEX(Fournisseurs!$L$5:$L$24,MATCH($C94,Fournisseurs!$A$5:$A$24,0))*$AD94/($I94*$M94),"")</f>
        <v/>
      </c>
      <c r="AG94" s="28" t="str">
        <f aca="false">IF($Y94=1,$AA94*$U94/$I94,"")</f>
        <v/>
      </c>
      <c r="AH94" s="28" t="str">
        <f aca="false">IF($Y94=1,$AB94*$U94/$I94,"")</f>
        <v/>
      </c>
      <c r="AI94" s="18" t="str">
        <f aca="false">IF($Y94=1,IF(AND(Paramètres!$B$4="EFFECTIVE",$W94="CH",$AB94&gt;0),1,0),"")</f>
        <v/>
      </c>
      <c r="AJ94" s="28" t="str">
        <f aca="false">IF($Y94=1,IF($X94&lt;&gt;"CH",($AG94+$AE94+$AF94)*Paramètres!$B$14,0),"")</f>
        <v/>
      </c>
      <c r="AK94" s="29" t="str">
        <f aca="false">IF($Y94=1,$AG94+IF($AI94=1,0,$AH94)+$AE94+$AF94+IF(Paramètres!$B$4="NOT_REGISTERED",$AJ94,0),"")</f>
        <v/>
      </c>
      <c r="AL94" s="27" t="str">
        <f aca="false">IF($Y94=1,($AK94+Paramètres!$B$7+Paramètres!$B$8+Paramètres!$B$9+Paramètres!$B$10)/((1-Paramètres!$B$11)/(1+Paramètres!$B$5)-Paramètres!$B$6),"")</f>
        <v/>
      </c>
      <c r="AM94" s="26" t="str">
        <f aca="false">IF(AND($Y94=1,ISNUMBER($R94)),IF($R94&gt;0,$AL94/$R94-1,""),"")</f>
        <v/>
      </c>
      <c r="AN94" s="27" t="str">
        <f aca="false">IF(AND($Y94=1,ISNUMBER($R94)),IF($R94&gt;0,$R94/(1+Paramètres!$B$5)-$AK94-($R94*Paramètres!$B$6+Paramètres!$B$7)-Paramètres!$B$8-Paramètres!$B$9-Paramètres!$B$10,""),"")</f>
        <v/>
      </c>
      <c r="AO94" s="26" t="str">
        <f aca="false">IF(ISNUMBER($AN94),$AN94/($R94/(1+Paramètres!$B$5)),"")</f>
        <v/>
      </c>
      <c r="AP94" s="30" t="str">
        <f aca="false">IF($A94="","",IF($Y94&lt;&gt;1,"INCOMPLET",IF(NOT(ISNUMBER($AM94)),"SANS RÉF. MARCHÉ",IF($AM94&lt;=Paramètres!$B$12,"OK",IF(AND($AO94&gt;=Paramètres!$B$15,$AN94&gt;=Paramètres!$B$16),"À REVOIR","NON RENTABLE")))))</f>
        <v/>
      </c>
      <c r="AQ94" s="18" t="str">
        <f aca="false">TRIM(IF(AND($Y94=1,ISNUMBER($N94)),IF($M94&lt;$N94,"MOQ ",""),"")&amp;IF(AND($Y94=1,ISNUMBER($O94)),IF($O94&lt;$I94*$M94,"DISPO ",""),"")&amp;IF($S94="O","FICTIF ","")&amp;IF($Y94=1,IF(AND($K94="TTC",$W94&lt;&gt;"CH"),"TVA-ÉTRANGÈRE ",""),""))</f>
        <v/>
      </c>
      <c r="AR94" s="18" t="str">
        <f aca="false">IF($Y94=1,COUNTIFS($A$6:$A$205,$A94,$AK$6:$AK$205,"&lt;"&amp;$AK94,$Y$6:$Y$205,1)+1,"")</f>
        <v/>
      </c>
      <c r="AS94" s="18" t="str">
        <f aca="false">IF(ISNUMBER($AR94),$A94&amp;"|"&amp;$AR94,"")</f>
        <v/>
      </c>
      <c r="AT94" s="27" t="str">
        <f aca="false">IF($Y94=1,$AK94*$I94*$M94,"")</f>
        <v/>
      </c>
    </row>
    <row r="95" customFormat="false" ht="15" hidden="false" customHeight="false" outlineLevel="0" collapsed="false">
      <c r="A95" s="9"/>
      <c r="B95" s="9"/>
      <c r="C95" s="9"/>
      <c r="D95" s="9"/>
      <c r="E95" s="9"/>
      <c r="F95" s="9"/>
      <c r="G95" s="9"/>
      <c r="H95" s="9"/>
      <c r="I95" s="9"/>
      <c r="J95" s="13"/>
      <c r="K95" s="9"/>
      <c r="L95" s="12"/>
      <c r="M95" s="9"/>
      <c r="N95" s="9"/>
      <c r="O95" s="9"/>
      <c r="P95" s="9"/>
      <c r="Q95" s="16"/>
      <c r="R95" s="13"/>
      <c r="S95" s="9"/>
      <c r="T95" s="18" t="str">
        <f aca="false">IF($C95="","",IFERROR(INDEX(Fournisseurs!$C$5:$C$24,MATCH($C95,Fournisseurs!$A$5:$A$24,0)),""))</f>
        <v/>
      </c>
      <c r="U95" s="25" t="str">
        <f aca="false">IF($C95="","",IFERROR(INDEX(Fournisseurs!$D$5:$D$24,MATCH($C95,Fournisseurs!$A$5:$A$24,0)),""))</f>
        <v/>
      </c>
      <c r="V95" s="26" t="str">
        <f aca="false">IF($C95="","",IFERROR(INDEX(Fournisseurs!$G$5:$G$24,MATCH($C95,Fournisseurs!$A$5:$A$24,0)),""))</f>
        <v/>
      </c>
      <c r="W95" s="18" t="str">
        <f aca="false">IF($C95="","",IFERROR(INDEX(Fournisseurs!$H$5:$H$24,MATCH($C95,Fournisseurs!$A$5:$A$24,0)),""))</f>
        <v/>
      </c>
      <c r="X95" s="18" t="str">
        <f aca="false">IF($C95="","",IFERROR(INDEX(Fournisseurs!$B$5:$B$24,MATCH($C95,Fournisseurs!$A$5:$A$24,0)),""))</f>
        <v/>
      </c>
      <c r="Y95" s="18" t="str">
        <f aca="false">IF($A95="","",IF(AND($A95&lt;&gt;"",$C95&lt;&gt;"",ISNUMBER($I95),ISNUMBER($J95),ISNUMBER($M95)),IF(AND($I95&gt;=1,$J95&gt;0,OR($K95="HT",$K95="TTC"),$M95&gt;=1,IFERROR(INDEX(Fournisseurs!$T$5:$T$24,MATCH($C95,Fournisseurs!$A$5:$A$24,0)),0)=1),1,0),0))</f>
        <v/>
      </c>
      <c r="Z95" s="27" t="str">
        <f aca="false">IF($Y95=1,$J95*(1-N($L95)),"")</f>
        <v/>
      </c>
      <c r="AA95" s="28" t="str">
        <f aca="false">IF($Y95=1,IF($K95="TTC",$Z95/(1+$V95),$Z95),"")</f>
        <v/>
      </c>
      <c r="AB95" s="28" t="str">
        <f aca="false">IF($Y95=1,IF($K95="TTC",$Z95-$AA95,$AA95*$V95),"")</f>
        <v/>
      </c>
      <c r="AC95" s="27" t="str">
        <f aca="false">IF($Y95=1,$AA95*$U95*$M95,"")</f>
        <v/>
      </c>
      <c r="AD95" s="26" t="str">
        <f aca="false">IF($Y95=1,$AC95/SUMIFS($AC$6:$AC$205,$C$6:$C$205,$C95,$Y$6:$Y$205,1),"")</f>
        <v/>
      </c>
      <c r="AE95" s="28" t="str">
        <f aca="false">IF($Y95=1,(INDEX(Fournisseurs!$J$5:$J$24,MATCH($C95,Fournisseurs!$A$5:$A$24,0))+INDEX(Fournisseurs!$K$5:$K$24,MATCH($C95,Fournisseurs!$A$5:$A$24,0)))*$U95*$AD95/($I95*$M95),"")</f>
        <v/>
      </c>
      <c r="AF95" s="28" t="str">
        <f aca="false">IF($Y95=1,INDEX(Fournisseurs!$L$5:$L$24,MATCH($C95,Fournisseurs!$A$5:$A$24,0))*$AD95/($I95*$M95),"")</f>
        <v/>
      </c>
      <c r="AG95" s="28" t="str">
        <f aca="false">IF($Y95=1,$AA95*$U95/$I95,"")</f>
        <v/>
      </c>
      <c r="AH95" s="28" t="str">
        <f aca="false">IF($Y95=1,$AB95*$U95/$I95,"")</f>
        <v/>
      </c>
      <c r="AI95" s="18" t="str">
        <f aca="false">IF($Y95=1,IF(AND(Paramètres!$B$4="EFFECTIVE",$W95="CH",$AB95&gt;0),1,0),"")</f>
        <v/>
      </c>
      <c r="AJ95" s="28" t="str">
        <f aca="false">IF($Y95=1,IF($X95&lt;&gt;"CH",($AG95+$AE95+$AF95)*Paramètres!$B$14,0),"")</f>
        <v/>
      </c>
      <c r="AK95" s="29" t="str">
        <f aca="false">IF($Y95=1,$AG95+IF($AI95=1,0,$AH95)+$AE95+$AF95+IF(Paramètres!$B$4="NOT_REGISTERED",$AJ95,0),"")</f>
        <v/>
      </c>
      <c r="AL95" s="27" t="str">
        <f aca="false">IF($Y95=1,($AK95+Paramètres!$B$7+Paramètres!$B$8+Paramètres!$B$9+Paramètres!$B$10)/((1-Paramètres!$B$11)/(1+Paramètres!$B$5)-Paramètres!$B$6),"")</f>
        <v/>
      </c>
      <c r="AM95" s="26" t="str">
        <f aca="false">IF(AND($Y95=1,ISNUMBER($R95)),IF($R95&gt;0,$AL95/$R95-1,""),"")</f>
        <v/>
      </c>
      <c r="AN95" s="27" t="str">
        <f aca="false">IF(AND($Y95=1,ISNUMBER($R95)),IF($R95&gt;0,$R95/(1+Paramètres!$B$5)-$AK95-($R95*Paramètres!$B$6+Paramètres!$B$7)-Paramètres!$B$8-Paramètres!$B$9-Paramètres!$B$10,""),"")</f>
        <v/>
      </c>
      <c r="AO95" s="26" t="str">
        <f aca="false">IF(ISNUMBER($AN95),$AN95/($R95/(1+Paramètres!$B$5)),"")</f>
        <v/>
      </c>
      <c r="AP95" s="30" t="str">
        <f aca="false">IF($A95="","",IF($Y95&lt;&gt;1,"INCOMPLET",IF(NOT(ISNUMBER($AM95)),"SANS RÉF. MARCHÉ",IF($AM95&lt;=Paramètres!$B$12,"OK",IF(AND($AO95&gt;=Paramètres!$B$15,$AN95&gt;=Paramètres!$B$16),"À REVOIR","NON RENTABLE")))))</f>
        <v/>
      </c>
      <c r="AQ95" s="18" t="str">
        <f aca="false">TRIM(IF(AND($Y95=1,ISNUMBER($N95)),IF($M95&lt;$N95,"MOQ ",""),"")&amp;IF(AND($Y95=1,ISNUMBER($O95)),IF($O95&lt;$I95*$M95,"DISPO ",""),"")&amp;IF($S95="O","FICTIF ","")&amp;IF($Y95=1,IF(AND($K95="TTC",$W95&lt;&gt;"CH"),"TVA-ÉTRANGÈRE ",""),""))</f>
        <v/>
      </c>
      <c r="AR95" s="18" t="str">
        <f aca="false">IF($Y95=1,COUNTIFS($A$6:$A$205,$A95,$AK$6:$AK$205,"&lt;"&amp;$AK95,$Y$6:$Y$205,1)+1,"")</f>
        <v/>
      </c>
      <c r="AS95" s="18" t="str">
        <f aca="false">IF(ISNUMBER($AR95),$A95&amp;"|"&amp;$AR95,"")</f>
        <v/>
      </c>
      <c r="AT95" s="27" t="str">
        <f aca="false">IF($Y95=1,$AK95*$I95*$M95,"")</f>
        <v/>
      </c>
    </row>
    <row r="96" customFormat="false" ht="15" hidden="false" customHeight="false" outlineLevel="0" collapsed="false">
      <c r="A96" s="9"/>
      <c r="B96" s="9"/>
      <c r="C96" s="9"/>
      <c r="D96" s="9"/>
      <c r="E96" s="9"/>
      <c r="F96" s="9"/>
      <c r="G96" s="9"/>
      <c r="H96" s="9"/>
      <c r="I96" s="9"/>
      <c r="J96" s="13"/>
      <c r="K96" s="9"/>
      <c r="L96" s="12"/>
      <c r="M96" s="9"/>
      <c r="N96" s="9"/>
      <c r="O96" s="9"/>
      <c r="P96" s="9"/>
      <c r="Q96" s="16"/>
      <c r="R96" s="13"/>
      <c r="S96" s="9"/>
      <c r="T96" s="18" t="str">
        <f aca="false">IF($C96="","",IFERROR(INDEX(Fournisseurs!$C$5:$C$24,MATCH($C96,Fournisseurs!$A$5:$A$24,0)),""))</f>
        <v/>
      </c>
      <c r="U96" s="25" t="str">
        <f aca="false">IF($C96="","",IFERROR(INDEX(Fournisseurs!$D$5:$D$24,MATCH($C96,Fournisseurs!$A$5:$A$24,0)),""))</f>
        <v/>
      </c>
      <c r="V96" s="26" t="str">
        <f aca="false">IF($C96="","",IFERROR(INDEX(Fournisseurs!$G$5:$G$24,MATCH($C96,Fournisseurs!$A$5:$A$24,0)),""))</f>
        <v/>
      </c>
      <c r="W96" s="18" t="str">
        <f aca="false">IF($C96="","",IFERROR(INDEX(Fournisseurs!$H$5:$H$24,MATCH($C96,Fournisseurs!$A$5:$A$24,0)),""))</f>
        <v/>
      </c>
      <c r="X96" s="18" t="str">
        <f aca="false">IF($C96="","",IFERROR(INDEX(Fournisseurs!$B$5:$B$24,MATCH($C96,Fournisseurs!$A$5:$A$24,0)),""))</f>
        <v/>
      </c>
      <c r="Y96" s="18" t="str">
        <f aca="false">IF($A96="","",IF(AND($A96&lt;&gt;"",$C96&lt;&gt;"",ISNUMBER($I96),ISNUMBER($J96),ISNUMBER($M96)),IF(AND($I96&gt;=1,$J96&gt;0,OR($K96="HT",$K96="TTC"),$M96&gt;=1,IFERROR(INDEX(Fournisseurs!$T$5:$T$24,MATCH($C96,Fournisseurs!$A$5:$A$24,0)),0)=1),1,0),0))</f>
        <v/>
      </c>
      <c r="Z96" s="27" t="str">
        <f aca="false">IF($Y96=1,$J96*(1-N($L96)),"")</f>
        <v/>
      </c>
      <c r="AA96" s="28" t="str">
        <f aca="false">IF($Y96=1,IF($K96="TTC",$Z96/(1+$V96),$Z96),"")</f>
        <v/>
      </c>
      <c r="AB96" s="28" t="str">
        <f aca="false">IF($Y96=1,IF($K96="TTC",$Z96-$AA96,$AA96*$V96),"")</f>
        <v/>
      </c>
      <c r="AC96" s="27" t="str">
        <f aca="false">IF($Y96=1,$AA96*$U96*$M96,"")</f>
        <v/>
      </c>
      <c r="AD96" s="26" t="str">
        <f aca="false">IF($Y96=1,$AC96/SUMIFS($AC$6:$AC$205,$C$6:$C$205,$C96,$Y$6:$Y$205,1),"")</f>
        <v/>
      </c>
      <c r="AE96" s="28" t="str">
        <f aca="false">IF($Y96=1,(INDEX(Fournisseurs!$J$5:$J$24,MATCH($C96,Fournisseurs!$A$5:$A$24,0))+INDEX(Fournisseurs!$K$5:$K$24,MATCH($C96,Fournisseurs!$A$5:$A$24,0)))*$U96*$AD96/($I96*$M96),"")</f>
        <v/>
      </c>
      <c r="AF96" s="28" t="str">
        <f aca="false">IF($Y96=1,INDEX(Fournisseurs!$L$5:$L$24,MATCH($C96,Fournisseurs!$A$5:$A$24,0))*$AD96/($I96*$M96),"")</f>
        <v/>
      </c>
      <c r="AG96" s="28" t="str">
        <f aca="false">IF($Y96=1,$AA96*$U96/$I96,"")</f>
        <v/>
      </c>
      <c r="AH96" s="28" t="str">
        <f aca="false">IF($Y96=1,$AB96*$U96/$I96,"")</f>
        <v/>
      </c>
      <c r="AI96" s="18" t="str">
        <f aca="false">IF($Y96=1,IF(AND(Paramètres!$B$4="EFFECTIVE",$W96="CH",$AB96&gt;0),1,0),"")</f>
        <v/>
      </c>
      <c r="AJ96" s="28" t="str">
        <f aca="false">IF($Y96=1,IF($X96&lt;&gt;"CH",($AG96+$AE96+$AF96)*Paramètres!$B$14,0),"")</f>
        <v/>
      </c>
      <c r="AK96" s="29" t="str">
        <f aca="false">IF($Y96=1,$AG96+IF($AI96=1,0,$AH96)+$AE96+$AF96+IF(Paramètres!$B$4="NOT_REGISTERED",$AJ96,0),"")</f>
        <v/>
      </c>
      <c r="AL96" s="27" t="str">
        <f aca="false">IF($Y96=1,($AK96+Paramètres!$B$7+Paramètres!$B$8+Paramètres!$B$9+Paramètres!$B$10)/((1-Paramètres!$B$11)/(1+Paramètres!$B$5)-Paramètres!$B$6),"")</f>
        <v/>
      </c>
      <c r="AM96" s="26" t="str">
        <f aca="false">IF(AND($Y96=1,ISNUMBER($R96)),IF($R96&gt;0,$AL96/$R96-1,""),"")</f>
        <v/>
      </c>
      <c r="AN96" s="27" t="str">
        <f aca="false">IF(AND($Y96=1,ISNUMBER($R96)),IF($R96&gt;0,$R96/(1+Paramètres!$B$5)-$AK96-($R96*Paramètres!$B$6+Paramètres!$B$7)-Paramètres!$B$8-Paramètres!$B$9-Paramètres!$B$10,""),"")</f>
        <v/>
      </c>
      <c r="AO96" s="26" t="str">
        <f aca="false">IF(ISNUMBER($AN96),$AN96/($R96/(1+Paramètres!$B$5)),"")</f>
        <v/>
      </c>
      <c r="AP96" s="30" t="str">
        <f aca="false">IF($A96="","",IF($Y96&lt;&gt;1,"INCOMPLET",IF(NOT(ISNUMBER($AM96)),"SANS RÉF. MARCHÉ",IF($AM96&lt;=Paramètres!$B$12,"OK",IF(AND($AO96&gt;=Paramètres!$B$15,$AN96&gt;=Paramètres!$B$16),"À REVOIR","NON RENTABLE")))))</f>
        <v/>
      </c>
      <c r="AQ96" s="18" t="str">
        <f aca="false">TRIM(IF(AND($Y96=1,ISNUMBER($N96)),IF($M96&lt;$N96,"MOQ ",""),"")&amp;IF(AND($Y96=1,ISNUMBER($O96)),IF($O96&lt;$I96*$M96,"DISPO ",""),"")&amp;IF($S96="O","FICTIF ","")&amp;IF($Y96=1,IF(AND($K96="TTC",$W96&lt;&gt;"CH"),"TVA-ÉTRANGÈRE ",""),""))</f>
        <v/>
      </c>
      <c r="AR96" s="18" t="str">
        <f aca="false">IF($Y96=1,COUNTIFS($A$6:$A$205,$A96,$AK$6:$AK$205,"&lt;"&amp;$AK96,$Y$6:$Y$205,1)+1,"")</f>
        <v/>
      </c>
      <c r="AS96" s="18" t="str">
        <f aca="false">IF(ISNUMBER($AR96),$A96&amp;"|"&amp;$AR96,"")</f>
        <v/>
      </c>
      <c r="AT96" s="27" t="str">
        <f aca="false">IF($Y96=1,$AK96*$I96*$M96,"")</f>
        <v/>
      </c>
    </row>
    <row r="97" customFormat="false" ht="15" hidden="false" customHeight="false" outlineLevel="0" collapsed="false">
      <c r="A97" s="9"/>
      <c r="B97" s="9"/>
      <c r="C97" s="9"/>
      <c r="D97" s="9"/>
      <c r="E97" s="9"/>
      <c r="F97" s="9"/>
      <c r="G97" s="9"/>
      <c r="H97" s="9"/>
      <c r="I97" s="9"/>
      <c r="J97" s="13"/>
      <c r="K97" s="9"/>
      <c r="L97" s="12"/>
      <c r="M97" s="9"/>
      <c r="N97" s="9"/>
      <c r="O97" s="9"/>
      <c r="P97" s="9"/>
      <c r="Q97" s="16"/>
      <c r="R97" s="13"/>
      <c r="S97" s="9"/>
      <c r="T97" s="18" t="str">
        <f aca="false">IF($C97="","",IFERROR(INDEX(Fournisseurs!$C$5:$C$24,MATCH($C97,Fournisseurs!$A$5:$A$24,0)),""))</f>
        <v/>
      </c>
      <c r="U97" s="25" t="str">
        <f aca="false">IF($C97="","",IFERROR(INDEX(Fournisseurs!$D$5:$D$24,MATCH($C97,Fournisseurs!$A$5:$A$24,0)),""))</f>
        <v/>
      </c>
      <c r="V97" s="26" t="str">
        <f aca="false">IF($C97="","",IFERROR(INDEX(Fournisseurs!$G$5:$G$24,MATCH($C97,Fournisseurs!$A$5:$A$24,0)),""))</f>
        <v/>
      </c>
      <c r="W97" s="18" t="str">
        <f aca="false">IF($C97="","",IFERROR(INDEX(Fournisseurs!$H$5:$H$24,MATCH($C97,Fournisseurs!$A$5:$A$24,0)),""))</f>
        <v/>
      </c>
      <c r="X97" s="18" t="str">
        <f aca="false">IF($C97="","",IFERROR(INDEX(Fournisseurs!$B$5:$B$24,MATCH($C97,Fournisseurs!$A$5:$A$24,0)),""))</f>
        <v/>
      </c>
      <c r="Y97" s="18" t="str">
        <f aca="false">IF($A97="","",IF(AND($A97&lt;&gt;"",$C97&lt;&gt;"",ISNUMBER($I97),ISNUMBER($J97),ISNUMBER($M97)),IF(AND($I97&gt;=1,$J97&gt;0,OR($K97="HT",$K97="TTC"),$M97&gt;=1,IFERROR(INDEX(Fournisseurs!$T$5:$T$24,MATCH($C97,Fournisseurs!$A$5:$A$24,0)),0)=1),1,0),0))</f>
        <v/>
      </c>
      <c r="Z97" s="27" t="str">
        <f aca="false">IF($Y97=1,$J97*(1-N($L97)),"")</f>
        <v/>
      </c>
      <c r="AA97" s="28" t="str">
        <f aca="false">IF($Y97=1,IF($K97="TTC",$Z97/(1+$V97),$Z97),"")</f>
        <v/>
      </c>
      <c r="AB97" s="28" t="str">
        <f aca="false">IF($Y97=1,IF($K97="TTC",$Z97-$AA97,$AA97*$V97),"")</f>
        <v/>
      </c>
      <c r="AC97" s="27" t="str">
        <f aca="false">IF($Y97=1,$AA97*$U97*$M97,"")</f>
        <v/>
      </c>
      <c r="AD97" s="26" t="str">
        <f aca="false">IF($Y97=1,$AC97/SUMIFS($AC$6:$AC$205,$C$6:$C$205,$C97,$Y$6:$Y$205,1),"")</f>
        <v/>
      </c>
      <c r="AE97" s="28" t="str">
        <f aca="false">IF($Y97=1,(INDEX(Fournisseurs!$J$5:$J$24,MATCH($C97,Fournisseurs!$A$5:$A$24,0))+INDEX(Fournisseurs!$K$5:$K$24,MATCH($C97,Fournisseurs!$A$5:$A$24,0)))*$U97*$AD97/($I97*$M97),"")</f>
        <v/>
      </c>
      <c r="AF97" s="28" t="str">
        <f aca="false">IF($Y97=1,INDEX(Fournisseurs!$L$5:$L$24,MATCH($C97,Fournisseurs!$A$5:$A$24,0))*$AD97/($I97*$M97),"")</f>
        <v/>
      </c>
      <c r="AG97" s="28" t="str">
        <f aca="false">IF($Y97=1,$AA97*$U97/$I97,"")</f>
        <v/>
      </c>
      <c r="AH97" s="28" t="str">
        <f aca="false">IF($Y97=1,$AB97*$U97/$I97,"")</f>
        <v/>
      </c>
      <c r="AI97" s="18" t="str">
        <f aca="false">IF($Y97=1,IF(AND(Paramètres!$B$4="EFFECTIVE",$W97="CH",$AB97&gt;0),1,0),"")</f>
        <v/>
      </c>
      <c r="AJ97" s="28" t="str">
        <f aca="false">IF($Y97=1,IF($X97&lt;&gt;"CH",($AG97+$AE97+$AF97)*Paramètres!$B$14,0),"")</f>
        <v/>
      </c>
      <c r="AK97" s="29" t="str">
        <f aca="false">IF($Y97=1,$AG97+IF($AI97=1,0,$AH97)+$AE97+$AF97+IF(Paramètres!$B$4="NOT_REGISTERED",$AJ97,0),"")</f>
        <v/>
      </c>
      <c r="AL97" s="27" t="str">
        <f aca="false">IF($Y97=1,($AK97+Paramètres!$B$7+Paramètres!$B$8+Paramètres!$B$9+Paramètres!$B$10)/((1-Paramètres!$B$11)/(1+Paramètres!$B$5)-Paramètres!$B$6),"")</f>
        <v/>
      </c>
      <c r="AM97" s="26" t="str">
        <f aca="false">IF(AND($Y97=1,ISNUMBER($R97)),IF($R97&gt;0,$AL97/$R97-1,""),"")</f>
        <v/>
      </c>
      <c r="AN97" s="27" t="str">
        <f aca="false">IF(AND($Y97=1,ISNUMBER($R97)),IF($R97&gt;0,$R97/(1+Paramètres!$B$5)-$AK97-($R97*Paramètres!$B$6+Paramètres!$B$7)-Paramètres!$B$8-Paramètres!$B$9-Paramètres!$B$10,""),"")</f>
        <v/>
      </c>
      <c r="AO97" s="26" t="str">
        <f aca="false">IF(ISNUMBER($AN97),$AN97/($R97/(1+Paramètres!$B$5)),"")</f>
        <v/>
      </c>
      <c r="AP97" s="30" t="str">
        <f aca="false">IF($A97="","",IF($Y97&lt;&gt;1,"INCOMPLET",IF(NOT(ISNUMBER($AM97)),"SANS RÉF. MARCHÉ",IF($AM97&lt;=Paramètres!$B$12,"OK",IF(AND($AO97&gt;=Paramètres!$B$15,$AN97&gt;=Paramètres!$B$16),"À REVOIR","NON RENTABLE")))))</f>
        <v/>
      </c>
      <c r="AQ97" s="18" t="str">
        <f aca="false">TRIM(IF(AND($Y97=1,ISNUMBER($N97)),IF($M97&lt;$N97,"MOQ ",""),"")&amp;IF(AND($Y97=1,ISNUMBER($O97)),IF($O97&lt;$I97*$M97,"DISPO ",""),"")&amp;IF($S97="O","FICTIF ","")&amp;IF($Y97=1,IF(AND($K97="TTC",$W97&lt;&gt;"CH"),"TVA-ÉTRANGÈRE ",""),""))</f>
        <v/>
      </c>
      <c r="AR97" s="18" t="str">
        <f aca="false">IF($Y97=1,COUNTIFS($A$6:$A$205,$A97,$AK$6:$AK$205,"&lt;"&amp;$AK97,$Y$6:$Y$205,1)+1,"")</f>
        <v/>
      </c>
      <c r="AS97" s="18" t="str">
        <f aca="false">IF(ISNUMBER($AR97),$A97&amp;"|"&amp;$AR97,"")</f>
        <v/>
      </c>
      <c r="AT97" s="27" t="str">
        <f aca="false">IF($Y97=1,$AK97*$I97*$M97,"")</f>
        <v/>
      </c>
    </row>
    <row r="98" customFormat="false" ht="15" hidden="false" customHeight="false" outlineLevel="0" collapsed="false">
      <c r="A98" s="9"/>
      <c r="B98" s="9"/>
      <c r="C98" s="9"/>
      <c r="D98" s="9"/>
      <c r="E98" s="9"/>
      <c r="F98" s="9"/>
      <c r="G98" s="9"/>
      <c r="H98" s="9"/>
      <c r="I98" s="9"/>
      <c r="J98" s="13"/>
      <c r="K98" s="9"/>
      <c r="L98" s="12"/>
      <c r="M98" s="9"/>
      <c r="N98" s="9"/>
      <c r="O98" s="9"/>
      <c r="P98" s="9"/>
      <c r="Q98" s="16"/>
      <c r="R98" s="13"/>
      <c r="S98" s="9"/>
      <c r="T98" s="18" t="str">
        <f aca="false">IF($C98="","",IFERROR(INDEX(Fournisseurs!$C$5:$C$24,MATCH($C98,Fournisseurs!$A$5:$A$24,0)),""))</f>
        <v/>
      </c>
      <c r="U98" s="25" t="str">
        <f aca="false">IF($C98="","",IFERROR(INDEX(Fournisseurs!$D$5:$D$24,MATCH($C98,Fournisseurs!$A$5:$A$24,0)),""))</f>
        <v/>
      </c>
      <c r="V98" s="26" t="str">
        <f aca="false">IF($C98="","",IFERROR(INDEX(Fournisseurs!$G$5:$G$24,MATCH($C98,Fournisseurs!$A$5:$A$24,0)),""))</f>
        <v/>
      </c>
      <c r="W98" s="18" t="str">
        <f aca="false">IF($C98="","",IFERROR(INDEX(Fournisseurs!$H$5:$H$24,MATCH($C98,Fournisseurs!$A$5:$A$24,0)),""))</f>
        <v/>
      </c>
      <c r="X98" s="18" t="str">
        <f aca="false">IF($C98="","",IFERROR(INDEX(Fournisseurs!$B$5:$B$24,MATCH($C98,Fournisseurs!$A$5:$A$24,0)),""))</f>
        <v/>
      </c>
      <c r="Y98" s="18" t="str">
        <f aca="false">IF($A98="","",IF(AND($A98&lt;&gt;"",$C98&lt;&gt;"",ISNUMBER($I98),ISNUMBER($J98),ISNUMBER($M98)),IF(AND($I98&gt;=1,$J98&gt;0,OR($K98="HT",$K98="TTC"),$M98&gt;=1,IFERROR(INDEX(Fournisseurs!$T$5:$T$24,MATCH($C98,Fournisseurs!$A$5:$A$24,0)),0)=1),1,0),0))</f>
        <v/>
      </c>
      <c r="Z98" s="27" t="str">
        <f aca="false">IF($Y98=1,$J98*(1-N($L98)),"")</f>
        <v/>
      </c>
      <c r="AA98" s="28" t="str">
        <f aca="false">IF($Y98=1,IF($K98="TTC",$Z98/(1+$V98),$Z98),"")</f>
        <v/>
      </c>
      <c r="AB98" s="28" t="str">
        <f aca="false">IF($Y98=1,IF($K98="TTC",$Z98-$AA98,$AA98*$V98),"")</f>
        <v/>
      </c>
      <c r="AC98" s="27" t="str">
        <f aca="false">IF($Y98=1,$AA98*$U98*$M98,"")</f>
        <v/>
      </c>
      <c r="AD98" s="26" t="str">
        <f aca="false">IF($Y98=1,$AC98/SUMIFS($AC$6:$AC$205,$C$6:$C$205,$C98,$Y$6:$Y$205,1),"")</f>
        <v/>
      </c>
      <c r="AE98" s="28" t="str">
        <f aca="false">IF($Y98=1,(INDEX(Fournisseurs!$J$5:$J$24,MATCH($C98,Fournisseurs!$A$5:$A$24,0))+INDEX(Fournisseurs!$K$5:$K$24,MATCH($C98,Fournisseurs!$A$5:$A$24,0)))*$U98*$AD98/($I98*$M98),"")</f>
        <v/>
      </c>
      <c r="AF98" s="28" t="str">
        <f aca="false">IF($Y98=1,INDEX(Fournisseurs!$L$5:$L$24,MATCH($C98,Fournisseurs!$A$5:$A$24,0))*$AD98/($I98*$M98),"")</f>
        <v/>
      </c>
      <c r="AG98" s="28" t="str">
        <f aca="false">IF($Y98=1,$AA98*$U98/$I98,"")</f>
        <v/>
      </c>
      <c r="AH98" s="28" t="str">
        <f aca="false">IF($Y98=1,$AB98*$U98/$I98,"")</f>
        <v/>
      </c>
      <c r="AI98" s="18" t="str">
        <f aca="false">IF($Y98=1,IF(AND(Paramètres!$B$4="EFFECTIVE",$W98="CH",$AB98&gt;0),1,0),"")</f>
        <v/>
      </c>
      <c r="AJ98" s="28" t="str">
        <f aca="false">IF($Y98=1,IF($X98&lt;&gt;"CH",($AG98+$AE98+$AF98)*Paramètres!$B$14,0),"")</f>
        <v/>
      </c>
      <c r="AK98" s="29" t="str">
        <f aca="false">IF($Y98=1,$AG98+IF($AI98=1,0,$AH98)+$AE98+$AF98+IF(Paramètres!$B$4="NOT_REGISTERED",$AJ98,0),"")</f>
        <v/>
      </c>
      <c r="AL98" s="27" t="str">
        <f aca="false">IF($Y98=1,($AK98+Paramètres!$B$7+Paramètres!$B$8+Paramètres!$B$9+Paramètres!$B$10)/((1-Paramètres!$B$11)/(1+Paramètres!$B$5)-Paramètres!$B$6),"")</f>
        <v/>
      </c>
      <c r="AM98" s="26" t="str">
        <f aca="false">IF(AND($Y98=1,ISNUMBER($R98)),IF($R98&gt;0,$AL98/$R98-1,""),"")</f>
        <v/>
      </c>
      <c r="AN98" s="27" t="str">
        <f aca="false">IF(AND($Y98=1,ISNUMBER($R98)),IF($R98&gt;0,$R98/(1+Paramètres!$B$5)-$AK98-($R98*Paramètres!$B$6+Paramètres!$B$7)-Paramètres!$B$8-Paramètres!$B$9-Paramètres!$B$10,""),"")</f>
        <v/>
      </c>
      <c r="AO98" s="26" t="str">
        <f aca="false">IF(ISNUMBER($AN98),$AN98/($R98/(1+Paramètres!$B$5)),"")</f>
        <v/>
      </c>
      <c r="AP98" s="30" t="str">
        <f aca="false">IF($A98="","",IF($Y98&lt;&gt;1,"INCOMPLET",IF(NOT(ISNUMBER($AM98)),"SANS RÉF. MARCHÉ",IF($AM98&lt;=Paramètres!$B$12,"OK",IF(AND($AO98&gt;=Paramètres!$B$15,$AN98&gt;=Paramètres!$B$16),"À REVOIR","NON RENTABLE")))))</f>
        <v/>
      </c>
      <c r="AQ98" s="18" t="str">
        <f aca="false">TRIM(IF(AND($Y98=1,ISNUMBER($N98)),IF($M98&lt;$N98,"MOQ ",""),"")&amp;IF(AND($Y98=1,ISNUMBER($O98)),IF($O98&lt;$I98*$M98,"DISPO ",""),"")&amp;IF($S98="O","FICTIF ","")&amp;IF($Y98=1,IF(AND($K98="TTC",$W98&lt;&gt;"CH"),"TVA-ÉTRANGÈRE ",""),""))</f>
        <v/>
      </c>
      <c r="AR98" s="18" t="str">
        <f aca="false">IF($Y98=1,COUNTIFS($A$6:$A$205,$A98,$AK$6:$AK$205,"&lt;"&amp;$AK98,$Y$6:$Y$205,1)+1,"")</f>
        <v/>
      </c>
      <c r="AS98" s="18" t="str">
        <f aca="false">IF(ISNUMBER($AR98),$A98&amp;"|"&amp;$AR98,"")</f>
        <v/>
      </c>
      <c r="AT98" s="27" t="str">
        <f aca="false">IF($Y98=1,$AK98*$I98*$M98,"")</f>
        <v/>
      </c>
    </row>
    <row r="99" customFormat="false" ht="15" hidden="false" customHeight="false" outlineLevel="0" collapsed="false">
      <c r="A99" s="9"/>
      <c r="B99" s="9"/>
      <c r="C99" s="9"/>
      <c r="D99" s="9"/>
      <c r="E99" s="9"/>
      <c r="F99" s="9"/>
      <c r="G99" s="9"/>
      <c r="H99" s="9"/>
      <c r="I99" s="9"/>
      <c r="J99" s="13"/>
      <c r="K99" s="9"/>
      <c r="L99" s="12"/>
      <c r="M99" s="9"/>
      <c r="N99" s="9"/>
      <c r="O99" s="9"/>
      <c r="P99" s="9"/>
      <c r="Q99" s="16"/>
      <c r="R99" s="13"/>
      <c r="S99" s="9"/>
      <c r="T99" s="18" t="str">
        <f aca="false">IF($C99="","",IFERROR(INDEX(Fournisseurs!$C$5:$C$24,MATCH($C99,Fournisseurs!$A$5:$A$24,0)),""))</f>
        <v/>
      </c>
      <c r="U99" s="25" t="str">
        <f aca="false">IF($C99="","",IFERROR(INDEX(Fournisseurs!$D$5:$D$24,MATCH($C99,Fournisseurs!$A$5:$A$24,0)),""))</f>
        <v/>
      </c>
      <c r="V99" s="26" t="str">
        <f aca="false">IF($C99="","",IFERROR(INDEX(Fournisseurs!$G$5:$G$24,MATCH($C99,Fournisseurs!$A$5:$A$24,0)),""))</f>
        <v/>
      </c>
      <c r="W99" s="18" t="str">
        <f aca="false">IF($C99="","",IFERROR(INDEX(Fournisseurs!$H$5:$H$24,MATCH($C99,Fournisseurs!$A$5:$A$24,0)),""))</f>
        <v/>
      </c>
      <c r="X99" s="18" t="str">
        <f aca="false">IF($C99="","",IFERROR(INDEX(Fournisseurs!$B$5:$B$24,MATCH($C99,Fournisseurs!$A$5:$A$24,0)),""))</f>
        <v/>
      </c>
      <c r="Y99" s="18" t="str">
        <f aca="false">IF($A99="","",IF(AND($A99&lt;&gt;"",$C99&lt;&gt;"",ISNUMBER($I99),ISNUMBER($J99),ISNUMBER($M99)),IF(AND($I99&gt;=1,$J99&gt;0,OR($K99="HT",$K99="TTC"),$M99&gt;=1,IFERROR(INDEX(Fournisseurs!$T$5:$T$24,MATCH($C99,Fournisseurs!$A$5:$A$24,0)),0)=1),1,0),0))</f>
        <v/>
      </c>
      <c r="Z99" s="27" t="str">
        <f aca="false">IF($Y99=1,$J99*(1-N($L99)),"")</f>
        <v/>
      </c>
      <c r="AA99" s="28" t="str">
        <f aca="false">IF($Y99=1,IF($K99="TTC",$Z99/(1+$V99),$Z99),"")</f>
        <v/>
      </c>
      <c r="AB99" s="28" t="str">
        <f aca="false">IF($Y99=1,IF($K99="TTC",$Z99-$AA99,$AA99*$V99),"")</f>
        <v/>
      </c>
      <c r="AC99" s="27" t="str">
        <f aca="false">IF($Y99=1,$AA99*$U99*$M99,"")</f>
        <v/>
      </c>
      <c r="AD99" s="26" t="str">
        <f aca="false">IF($Y99=1,$AC99/SUMIFS($AC$6:$AC$205,$C$6:$C$205,$C99,$Y$6:$Y$205,1),"")</f>
        <v/>
      </c>
      <c r="AE99" s="28" t="str">
        <f aca="false">IF($Y99=1,(INDEX(Fournisseurs!$J$5:$J$24,MATCH($C99,Fournisseurs!$A$5:$A$24,0))+INDEX(Fournisseurs!$K$5:$K$24,MATCH($C99,Fournisseurs!$A$5:$A$24,0)))*$U99*$AD99/($I99*$M99),"")</f>
        <v/>
      </c>
      <c r="AF99" s="28" t="str">
        <f aca="false">IF($Y99=1,INDEX(Fournisseurs!$L$5:$L$24,MATCH($C99,Fournisseurs!$A$5:$A$24,0))*$AD99/($I99*$M99),"")</f>
        <v/>
      </c>
      <c r="AG99" s="28" t="str">
        <f aca="false">IF($Y99=1,$AA99*$U99/$I99,"")</f>
        <v/>
      </c>
      <c r="AH99" s="28" t="str">
        <f aca="false">IF($Y99=1,$AB99*$U99/$I99,"")</f>
        <v/>
      </c>
      <c r="AI99" s="18" t="str">
        <f aca="false">IF($Y99=1,IF(AND(Paramètres!$B$4="EFFECTIVE",$W99="CH",$AB99&gt;0),1,0),"")</f>
        <v/>
      </c>
      <c r="AJ99" s="28" t="str">
        <f aca="false">IF($Y99=1,IF($X99&lt;&gt;"CH",($AG99+$AE99+$AF99)*Paramètres!$B$14,0),"")</f>
        <v/>
      </c>
      <c r="AK99" s="29" t="str">
        <f aca="false">IF($Y99=1,$AG99+IF($AI99=1,0,$AH99)+$AE99+$AF99+IF(Paramètres!$B$4="NOT_REGISTERED",$AJ99,0),"")</f>
        <v/>
      </c>
      <c r="AL99" s="27" t="str">
        <f aca="false">IF($Y99=1,($AK99+Paramètres!$B$7+Paramètres!$B$8+Paramètres!$B$9+Paramètres!$B$10)/((1-Paramètres!$B$11)/(1+Paramètres!$B$5)-Paramètres!$B$6),"")</f>
        <v/>
      </c>
      <c r="AM99" s="26" t="str">
        <f aca="false">IF(AND($Y99=1,ISNUMBER($R99)),IF($R99&gt;0,$AL99/$R99-1,""),"")</f>
        <v/>
      </c>
      <c r="AN99" s="27" t="str">
        <f aca="false">IF(AND($Y99=1,ISNUMBER($R99)),IF($R99&gt;0,$R99/(1+Paramètres!$B$5)-$AK99-($R99*Paramètres!$B$6+Paramètres!$B$7)-Paramètres!$B$8-Paramètres!$B$9-Paramètres!$B$10,""),"")</f>
        <v/>
      </c>
      <c r="AO99" s="26" t="str">
        <f aca="false">IF(ISNUMBER($AN99),$AN99/($R99/(1+Paramètres!$B$5)),"")</f>
        <v/>
      </c>
      <c r="AP99" s="30" t="str">
        <f aca="false">IF($A99="","",IF($Y99&lt;&gt;1,"INCOMPLET",IF(NOT(ISNUMBER($AM99)),"SANS RÉF. MARCHÉ",IF($AM99&lt;=Paramètres!$B$12,"OK",IF(AND($AO99&gt;=Paramètres!$B$15,$AN99&gt;=Paramètres!$B$16),"À REVOIR","NON RENTABLE")))))</f>
        <v/>
      </c>
      <c r="AQ99" s="18" t="str">
        <f aca="false">TRIM(IF(AND($Y99=1,ISNUMBER($N99)),IF($M99&lt;$N99,"MOQ ",""),"")&amp;IF(AND($Y99=1,ISNUMBER($O99)),IF($O99&lt;$I99*$M99,"DISPO ",""),"")&amp;IF($S99="O","FICTIF ","")&amp;IF($Y99=1,IF(AND($K99="TTC",$W99&lt;&gt;"CH"),"TVA-ÉTRANGÈRE ",""),""))</f>
        <v/>
      </c>
      <c r="AR99" s="18" t="str">
        <f aca="false">IF($Y99=1,COUNTIFS($A$6:$A$205,$A99,$AK$6:$AK$205,"&lt;"&amp;$AK99,$Y$6:$Y$205,1)+1,"")</f>
        <v/>
      </c>
      <c r="AS99" s="18" t="str">
        <f aca="false">IF(ISNUMBER($AR99),$A99&amp;"|"&amp;$AR99,"")</f>
        <v/>
      </c>
      <c r="AT99" s="27" t="str">
        <f aca="false">IF($Y99=1,$AK99*$I99*$M99,"")</f>
        <v/>
      </c>
    </row>
    <row r="100" customFormat="false" ht="15" hidden="false" customHeight="false" outlineLevel="0" collapsed="false">
      <c r="A100" s="9"/>
      <c r="B100" s="9"/>
      <c r="C100" s="9"/>
      <c r="D100" s="9"/>
      <c r="E100" s="9"/>
      <c r="F100" s="9"/>
      <c r="G100" s="9"/>
      <c r="H100" s="9"/>
      <c r="I100" s="9"/>
      <c r="J100" s="13"/>
      <c r="K100" s="9"/>
      <c r="L100" s="12"/>
      <c r="M100" s="9"/>
      <c r="N100" s="9"/>
      <c r="O100" s="9"/>
      <c r="P100" s="9"/>
      <c r="Q100" s="16"/>
      <c r="R100" s="13"/>
      <c r="S100" s="9"/>
      <c r="T100" s="18" t="str">
        <f aca="false">IF($C100="","",IFERROR(INDEX(Fournisseurs!$C$5:$C$24,MATCH($C100,Fournisseurs!$A$5:$A$24,0)),""))</f>
        <v/>
      </c>
      <c r="U100" s="25" t="str">
        <f aca="false">IF($C100="","",IFERROR(INDEX(Fournisseurs!$D$5:$D$24,MATCH($C100,Fournisseurs!$A$5:$A$24,0)),""))</f>
        <v/>
      </c>
      <c r="V100" s="26" t="str">
        <f aca="false">IF($C100="","",IFERROR(INDEX(Fournisseurs!$G$5:$G$24,MATCH($C100,Fournisseurs!$A$5:$A$24,0)),""))</f>
        <v/>
      </c>
      <c r="W100" s="18" t="str">
        <f aca="false">IF($C100="","",IFERROR(INDEX(Fournisseurs!$H$5:$H$24,MATCH($C100,Fournisseurs!$A$5:$A$24,0)),""))</f>
        <v/>
      </c>
      <c r="X100" s="18" t="str">
        <f aca="false">IF($C100="","",IFERROR(INDEX(Fournisseurs!$B$5:$B$24,MATCH($C100,Fournisseurs!$A$5:$A$24,0)),""))</f>
        <v/>
      </c>
      <c r="Y100" s="18" t="str">
        <f aca="false">IF($A100="","",IF(AND($A100&lt;&gt;"",$C100&lt;&gt;"",ISNUMBER($I100),ISNUMBER($J100),ISNUMBER($M100)),IF(AND($I100&gt;=1,$J100&gt;0,OR($K100="HT",$K100="TTC"),$M100&gt;=1,IFERROR(INDEX(Fournisseurs!$T$5:$T$24,MATCH($C100,Fournisseurs!$A$5:$A$24,0)),0)=1),1,0),0))</f>
        <v/>
      </c>
      <c r="Z100" s="27" t="str">
        <f aca="false">IF($Y100=1,$J100*(1-N($L100)),"")</f>
        <v/>
      </c>
      <c r="AA100" s="28" t="str">
        <f aca="false">IF($Y100=1,IF($K100="TTC",$Z100/(1+$V100),$Z100),"")</f>
        <v/>
      </c>
      <c r="AB100" s="28" t="str">
        <f aca="false">IF($Y100=1,IF($K100="TTC",$Z100-$AA100,$AA100*$V100),"")</f>
        <v/>
      </c>
      <c r="AC100" s="27" t="str">
        <f aca="false">IF($Y100=1,$AA100*$U100*$M100,"")</f>
        <v/>
      </c>
      <c r="AD100" s="26" t="str">
        <f aca="false">IF($Y100=1,$AC100/SUMIFS($AC$6:$AC$205,$C$6:$C$205,$C100,$Y$6:$Y$205,1),"")</f>
        <v/>
      </c>
      <c r="AE100" s="28" t="str">
        <f aca="false">IF($Y100=1,(INDEX(Fournisseurs!$J$5:$J$24,MATCH($C100,Fournisseurs!$A$5:$A$24,0))+INDEX(Fournisseurs!$K$5:$K$24,MATCH($C100,Fournisseurs!$A$5:$A$24,0)))*$U100*$AD100/($I100*$M100),"")</f>
        <v/>
      </c>
      <c r="AF100" s="28" t="str">
        <f aca="false">IF($Y100=1,INDEX(Fournisseurs!$L$5:$L$24,MATCH($C100,Fournisseurs!$A$5:$A$24,0))*$AD100/($I100*$M100),"")</f>
        <v/>
      </c>
      <c r="AG100" s="28" t="str">
        <f aca="false">IF($Y100=1,$AA100*$U100/$I100,"")</f>
        <v/>
      </c>
      <c r="AH100" s="28" t="str">
        <f aca="false">IF($Y100=1,$AB100*$U100/$I100,"")</f>
        <v/>
      </c>
      <c r="AI100" s="18" t="str">
        <f aca="false">IF($Y100=1,IF(AND(Paramètres!$B$4="EFFECTIVE",$W100="CH",$AB100&gt;0),1,0),"")</f>
        <v/>
      </c>
      <c r="AJ100" s="28" t="str">
        <f aca="false">IF($Y100=1,IF($X100&lt;&gt;"CH",($AG100+$AE100+$AF100)*Paramètres!$B$14,0),"")</f>
        <v/>
      </c>
      <c r="AK100" s="29" t="str">
        <f aca="false">IF($Y100=1,$AG100+IF($AI100=1,0,$AH100)+$AE100+$AF100+IF(Paramètres!$B$4="NOT_REGISTERED",$AJ100,0),"")</f>
        <v/>
      </c>
      <c r="AL100" s="27" t="str">
        <f aca="false">IF($Y100=1,($AK100+Paramètres!$B$7+Paramètres!$B$8+Paramètres!$B$9+Paramètres!$B$10)/((1-Paramètres!$B$11)/(1+Paramètres!$B$5)-Paramètres!$B$6),"")</f>
        <v/>
      </c>
      <c r="AM100" s="26" t="str">
        <f aca="false">IF(AND($Y100=1,ISNUMBER($R100)),IF($R100&gt;0,$AL100/$R100-1,""),"")</f>
        <v/>
      </c>
      <c r="AN100" s="27" t="str">
        <f aca="false">IF(AND($Y100=1,ISNUMBER($R100)),IF($R100&gt;0,$R100/(1+Paramètres!$B$5)-$AK100-($R100*Paramètres!$B$6+Paramètres!$B$7)-Paramètres!$B$8-Paramètres!$B$9-Paramètres!$B$10,""),"")</f>
        <v/>
      </c>
      <c r="AO100" s="26" t="str">
        <f aca="false">IF(ISNUMBER($AN100),$AN100/($R100/(1+Paramètres!$B$5)),"")</f>
        <v/>
      </c>
      <c r="AP100" s="30" t="str">
        <f aca="false">IF($A100="","",IF($Y100&lt;&gt;1,"INCOMPLET",IF(NOT(ISNUMBER($AM100)),"SANS RÉF. MARCHÉ",IF($AM100&lt;=Paramètres!$B$12,"OK",IF(AND($AO100&gt;=Paramètres!$B$15,$AN100&gt;=Paramètres!$B$16),"À REVOIR","NON RENTABLE")))))</f>
        <v/>
      </c>
      <c r="AQ100" s="18" t="str">
        <f aca="false">TRIM(IF(AND($Y100=1,ISNUMBER($N100)),IF($M100&lt;$N100,"MOQ ",""),"")&amp;IF(AND($Y100=1,ISNUMBER($O100)),IF($O100&lt;$I100*$M100,"DISPO ",""),"")&amp;IF($S100="O","FICTIF ","")&amp;IF($Y100=1,IF(AND($K100="TTC",$W100&lt;&gt;"CH"),"TVA-ÉTRANGÈRE ",""),""))</f>
        <v/>
      </c>
      <c r="AR100" s="18" t="str">
        <f aca="false">IF($Y100=1,COUNTIFS($A$6:$A$205,$A100,$AK$6:$AK$205,"&lt;"&amp;$AK100,$Y$6:$Y$205,1)+1,"")</f>
        <v/>
      </c>
      <c r="AS100" s="18" t="str">
        <f aca="false">IF(ISNUMBER($AR100),$A100&amp;"|"&amp;$AR100,"")</f>
        <v/>
      </c>
      <c r="AT100" s="27" t="str">
        <f aca="false">IF($Y100=1,$AK100*$I100*$M100,"")</f>
        <v/>
      </c>
    </row>
    <row r="101" customFormat="false" ht="15" hidden="false" customHeight="false" outlineLevel="0" collapsed="false">
      <c r="A101" s="9"/>
      <c r="B101" s="9"/>
      <c r="C101" s="9"/>
      <c r="D101" s="9"/>
      <c r="E101" s="9"/>
      <c r="F101" s="9"/>
      <c r="G101" s="9"/>
      <c r="H101" s="9"/>
      <c r="I101" s="9"/>
      <c r="J101" s="13"/>
      <c r="K101" s="9"/>
      <c r="L101" s="12"/>
      <c r="M101" s="9"/>
      <c r="N101" s="9"/>
      <c r="O101" s="9"/>
      <c r="P101" s="9"/>
      <c r="Q101" s="16"/>
      <c r="R101" s="13"/>
      <c r="S101" s="9"/>
      <c r="T101" s="18" t="str">
        <f aca="false">IF($C101="","",IFERROR(INDEX(Fournisseurs!$C$5:$C$24,MATCH($C101,Fournisseurs!$A$5:$A$24,0)),""))</f>
        <v/>
      </c>
      <c r="U101" s="25" t="str">
        <f aca="false">IF($C101="","",IFERROR(INDEX(Fournisseurs!$D$5:$D$24,MATCH($C101,Fournisseurs!$A$5:$A$24,0)),""))</f>
        <v/>
      </c>
      <c r="V101" s="26" t="str">
        <f aca="false">IF($C101="","",IFERROR(INDEX(Fournisseurs!$G$5:$G$24,MATCH($C101,Fournisseurs!$A$5:$A$24,0)),""))</f>
        <v/>
      </c>
      <c r="W101" s="18" t="str">
        <f aca="false">IF($C101="","",IFERROR(INDEX(Fournisseurs!$H$5:$H$24,MATCH($C101,Fournisseurs!$A$5:$A$24,0)),""))</f>
        <v/>
      </c>
      <c r="X101" s="18" t="str">
        <f aca="false">IF($C101="","",IFERROR(INDEX(Fournisseurs!$B$5:$B$24,MATCH($C101,Fournisseurs!$A$5:$A$24,0)),""))</f>
        <v/>
      </c>
      <c r="Y101" s="18" t="str">
        <f aca="false">IF($A101="","",IF(AND($A101&lt;&gt;"",$C101&lt;&gt;"",ISNUMBER($I101),ISNUMBER($J101),ISNUMBER($M101)),IF(AND($I101&gt;=1,$J101&gt;0,OR($K101="HT",$K101="TTC"),$M101&gt;=1,IFERROR(INDEX(Fournisseurs!$T$5:$T$24,MATCH($C101,Fournisseurs!$A$5:$A$24,0)),0)=1),1,0),0))</f>
        <v/>
      </c>
      <c r="Z101" s="27" t="str">
        <f aca="false">IF($Y101=1,$J101*(1-N($L101)),"")</f>
        <v/>
      </c>
      <c r="AA101" s="28" t="str">
        <f aca="false">IF($Y101=1,IF($K101="TTC",$Z101/(1+$V101),$Z101),"")</f>
        <v/>
      </c>
      <c r="AB101" s="28" t="str">
        <f aca="false">IF($Y101=1,IF($K101="TTC",$Z101-$AA101,$AA101*$V101),"")</f>
        <v/>
      </c>
      <c r="AC101" s="27" t="str">
        <f aca="false">IF($Y101=1,$AA101*$U101*$M101,"")</f>
        <v/>
      </c>
      <c r="AD101" s="26" t="str">
        <f aca="false">IF($Y101=1,$AC101/SUMIFS($AC$6:$AC$205,$C$6:$C$205,$C101,$Y$6:$Y$205,1),"")</f>
        <v/>
      </c>
      <c r="AE101" s="28" t="str">
        <f aca="false">IF($Y101=1,(INDEX(Fournisseurs!$J$5:$J$24,MATCH($C101,Fournisseurs!$A$5:$A$24,0))+INDEX(Fournisseurs!$K$5:$K$24,MATCH($C101,Fournisseurs!$A$5:$A$24,0)))*$U101*$AD101/($I101*$M101),"")</f>
        <v/>
      </c>
      <c r="AF101" s="28" t="str">
        <f aca="false">IF($Y101=1,INDEX(Fournisseurs!$L$5:$L$24,MATCH($C101,Fournisseurs!$A$5:$A$24,0))*$AD101/($I101*$M101),"")</f>
        <v/>
      </c>
      <c r="AG101" s="28" t="str">
        <f aca="false">IF($Y101=1,$AA101*$U101/$I101,"")</f>
        <v/>
      </c>
      <c r="AH101" s="28" t="str">
        <f aca="false">IF($Y101=1,$AB101*$U101/$I101,"")</f>
        <v/>
      </c>
      <c r="AI101" s="18" t="str">
        <f aca="false">IF($Y101=1,IF(AND(Paramètres!$B$4="EFFECTIVE",$W101="CH",$AB101&gt;0),1,0),"")</f>
        <v/>
      </c>
      <c r="AJ101" s="28" t="str">
        <f aca="false">IF($Y101=1,IF($X101&lt;&gt;"CH",($AG101+$AE101+$AF101)*Paramètres!$B$14,0),"")</f>
        <v/>
      </c>
      <c r="AK101" s="29" t="str">
        <f aca="false">IF($Y101=1,$AG101+IF($AI101=1,0,$AH101)+$AE101+$AF101+IF(Paramètres!$B$4="NOT_REGISTERED",$AJ101,0),"")</f>
        <v/>
      </c>
      <c r="AL101" s="27" t="str">
        <f aca="false">IF($Y101=1,($AK101+Paramètres!$B$7+Paramètres!$B$8+Paramètres!$B$9+Paramètres!$B$10)/((1-Paramètres!$B$11)/(1+Paramètres!$B$5)-Paramètres!$B$6),"")</f>
        <v/>
      </c>
      <c r="AM101" s="26" t="str">
        <f aca="false">IF(AND($Y101=1,ISNUMBER($R101)),IF($R101&gt;0,$AL101/$R101-1,""),"")</f>
        <v/>
      </c>
      <c r="AN101" s="27" t="str">
        <f aca="false">IF(AND($Y101=1,ISNUMBER($R101)),IF($R101&gt;0,$R101/(1+Paramètres!$B$5)-$AK101-($R101*Paramètres!$B$6+Paramètres!$B$7)-Paramètres!$B$8-Paramètres!$B$9-Paramètres!$B$10,""),"")</f>
        <v/>
      </c>
      <c r="AO101" s="26" t="str">
        <f aca="false">IF(ISNUMBER($AN101),$AN101/($R101/(1+Paramètres!$B$5)),"")</f>
        <v/>
      </c>
      <c r="AP101" s="30" t="str">
        <f aca="false">IF($A101="","",IF($Y101&lt;&gt;1,"INCOMPLET",IF(NOT(ISNUMBER($AM101)),"SANS RÉF. MARCHÉ",IF($AM101&lt;=Paramètres!$B$12,"OK",IF(AND($AO101&gt;=Paramètres!$B$15,$AN101&gt;=Paramètres!$B$16),"À REVOIR","NON RENTABLE")))))</f>
        <v/>
      </c>
      <c r="AQ101" s="18" t="str">
        <f aca="false">TRIM(IF(AND($Y101=1,ISNUMBER($N101)),IF($M101&lt;$N101,"MOQ ",""),"")&amp;IF(AND($Y101=1,ISNUMBER($O101)),IF($O101&lt;$I101*$M101,"DISPO ",""),"")&amp;IF($S101="O","FICTIF ","")&amp;IF($Y101=1,IF(AND($K101="TTC",$W101&lt;&gt;"CH"),"TVA-ÉTRANGÈRE ",""),""))</f>
        <v/>
      </c>
      <c r="AR101" s="18" t="str">
        <f aca="false">IF($Y101=1,COUNTIFS($A$6:$A$205,$A101,$AK$6:$AK$205,"&lt;"&amp;$AK101,$Y$6:$Y$205,1)+1,"")</f>
        <v/>
      </c>
      <c r="AS101" s="18" t="str">
        <f aca="false">IF(ISNUMBER($AR101),$A101&amp;"|"&amp;$AR101,"")</f>
        <v/>
      </c>
      <c r="AT101" s="27" t="str">
        <f aca="false">IF($Y101=1,$AK101*$I101*$M101,"")</f>
        <v/>
      </c>
    </row>
    <row r="102" customFormat="false" ht="15" hidden="false" customHeight="false" outlineLevel="0" collapsed="false">
      <c r="A102" s="9"/>
      <c r="B102" s="9"/>
      <c r="C102" s="9"/>
      <c r="D102" s="9"/>
      <c r="E102" s="9"/>
      <c r="F102" s="9"/>
      <c r="G102" s="9"/>
      <c r="H102" s="9"/>
      <c r="I102" s="9"/>
      <c r="J102" s="13"/>
      <c r="K102" s="9"/>
      <c r="L102" s="12"/>
      <c r="M102" s="9"/>
      <c r="N102" s="9"/>
      <c r="O102" s="9"/>
      <c r="P102" s="9"/>
      <c r="Q102" s="16"/>
      <c r="R102" s="13"/>
      <c r="S102" s="9"/>
      <c r="T102" s="18" t="str">
        <f aca="false">IF($C102="","",IFERROR(INDEX(Fournisseurs!$C$5:$C$24,MATCH($C102,Fournisseurs!$A$5:$A$24,0)),""))</f>
        <v/>
      </c>
      <c r="U102" s="25" t="str">
        <f aca="false">IF($C102="","",IFERROR(INDEX(Fournisseurs!$D$5:$D$24,MATCH($C102,Fournisseurs!$A$5:$A$24,0)),""))</f>
        <v/>
      </c>
      <c r="V102" s="26" t="str">
        <f aca="false">IF($C102="","",IFERROR(INDEX(Fournisseurs!$G$5:$G$24,MATCH($C102,Fournisseurs!$A$5:$A$24,0)),""))</f>
        <v/>
      </c>
      <c r="W102" s="18" t="str">
        <f aca="false">IF($C102="","",IFERROR(INDEX(Fournisseurs!$H$5:$H$24,MATCH($C102,Fournisseurs!$A$5:$A$24,0)),""))</f>
        <v/>
      </c>
      <c r="X102" s="18" t="str">
        <f aca="false">IF($C102="","",IFERROR(INDEX(Fournisseurs!$B$5:$B$24,MATCH($C102,Fournisseurs!$A$5:$A$24,0)),""))</f>
        <v/>
      </c>
      <c r="Y102" s="18" t="str">
        <f aca="false">IF($A102="","",IF(AND($A102&lt;&gt;"",$C102&lt;&gt;"",ISNUMBER($I102),ISNUMBER($J102),ISNUMBER($M102)),IF(AND($I102&gt;=1,$J102&gt;0,OR($K102="HT",$K102="TTC"),$M102&gt;=1,IFERROR(INDEX(Fournisseurs!$T$5:$T$24,MATCH($C102,Fournisseurs!$A$5:$A$24,0)),0)=1),1,0),0))</f>
        <v/>
      </c>
      <c r="Z102" s="27" t="str">
        <f aca="false">IF($Y102=1,$J102*(1-N($L102)),"")</f>
        <v/>
      </c>
      <c r="AA102" s="28" t="str">
        <f aca="false">IF($Y102=1,IF($K102="TTC",$Z102/(1+$V102),$Z102),"")</f>
        <v/>
      </c>
      <c r="AB102" s="28" t="str">
        <f aca="false">IF($Y102=1,IF($K102="TTC",$Z102-$AA102,$AA102*$V102),"")</f>
        <v/>
      </c>
      <c r="AC102" s="27" t="str">
        <f aca="false">IF($Y102=1,$AA102*$U102*$M102,"")</f>
        <v/>
      </c>
      <c r="AD102" s="26" t="str">
        <f aca="false">IF($Y102=1,$AC102/SUMIFS($AC$6:$AC$205,$C$6:$C$205,$C102,$Y$6:$Y$205,1),"")</f>
        <v/>
      </c>
      <c r="AE102" s="28" t="str">
        <f aca="false">IF($Y102=1,(INDEX(Fournisseurs!$J$5:$J$24,MATCH($C102,Fournisseurs!$A$5:$A$24,0))+INDEX(Fournisseurs!$K$5:$K$24,MATCH($C102,Fournisseurs!$A$5:$A$24,0)))*$U102*$AD102/($I102*$M102),"")</f>
        <v/>
      </c>
      <c r="AF102" s="28" t="str">
        <f aca="false">IF($Y102=1,INDEX(Fournisseurs!$L$5:$L$24,MATCH($C102,Fournisseurs!$A$5:$A$24,0))*$AD102/($I102*$M102),"")</f>
        <v/>
      </c>
      <c r="AG102" s="28" t="str">
        <f aca="false">IF($Y102=1,$AA102*$U102/$I102,"")</f>
        <v/>
      </c>
      <c r="AH102" s="28" t="str">
        <f aca="false">IF($Y102=1,$AB102*$U102/$I102,"")</f>
        <v/>
      </c>
      <c r="AI102" s="18" t="str">
        <f aca="false">IF($Y102=1,IF(AND(Paramètres!$B$4="EFFECTIVE",$W102="CH",$AB102&gt;0),1,0),"")</f>
        <v/>
      </c>
      <c r="AJ102" s="28" t="str">
        <f aca="false">IF($Y102=1,IF($X102&lt;&gt;"CH",($AG102+$AE102+$AF102)*Paramètres!$B$14,0),"")</f>
        <v/>
      </c>
      <c r="AK102" s="29" t="str">
        <f aca="false">IF($Y102=1,$AG102+IF($AI102=1,0,$AH102)+$AE102+$AF102+IF(Paramètres!$B$4="NOT_REGISTERED",$AJ102,0),"")</f>
        <v/>
      </c>
      <c r="AL102" s="27" t="str">
        <f aca="false">IF($Y102=1,($AK102+Paramètres!$B$7+Paramètres!$B$8+Paramètres!$B$9+Paramètres!$B$10)/((1-Paramètres!$B$11)/(1+Paramètres!$B$5)-Paramètres!$B$6),"")</f>
        <v/>
      </c>
      <c r="AM102" s="26" t="str">
        <f aca="false">IF(AND($Y102=1,ISNUMBER($R102)),IF($R102&gt;0,$AL102/$R102-1,""),"")</f>
        <v/>
      </c>
      <c r="AN102" s="27" t="str">
        <f aca="false">IF(AND($Y102=1,ISNUMBER($R102)),IF($R102&gt;0,$R102/(1+Paramètres!$B$5)-$AK102-($R102*Paramètres!$B$6+Paramètres!$B$7)-Paramètres!$B$8-Paramètres!$B$9-Paramètres!$B$10,""),"")</f>
        <v/>
      </c>
      <c r="AO102" s="26" t="str">
        <f aca="false">IF(ISNUMBER($AN102),$AN102/($R102/(1+Paramètres!$B$5)),"")</f>
        <v/>
      </c>
      <c r="AP102" s="30" t="str">
        <f aca="false">IF($A102="","",IF($Y102&lt;&gt;1,"INCOMPLET",IF(NOT(ISNUMBER($AM102)),"SANS RÉF. MARCHÉ",IF($AM102&lt;=Paramètres!$B$12,"OK",IF(AND($AO102&gt;=Paramètres!$B$15,$AN102&gt;=Paramètres!$B$16),"À REVOIR","NON RENTABLE")))))</f>
        <v/>
      </c>
      <c r="AQ102" s="18" t="str">
        <f aca="false">TRIM(IF(AND($Y102=1,ISNUMBER($N102)),IF($M102&lt;$N102,"MOQ ",""),"")&amp;IF(AND($Y102=1,ISNUMBER($O102)),IF($O102&lt;$I102*$M102,"DISPO ",""),"")&amp;IF($S102="O","FICTIF ","")&amp;IF($Y102=1,IF(AND($K102="TTC",$W102&lt;&gt;"CH"),"TVA-ÉTRANGÈRE ",""),""))</f>
        <v/>
      </c>
      <c r="AR102" s="18" t="str">
        <f aca="false">IF($Y102=1,COUNTIFS($A$6:$A$205,$A102,$AK$6:$AK$205,"&lt;"&amp;$AK102,$Y$6:$Y$205,1)+1,"")</f>
        <v/>
      </c>
      <c r="AS102" s="18" t="str">
        <f aca="false">IF(ISNUMBER($AR102),$A102&amp;"|"&amp;$AR102,"")</f>
        <v/>
      </c>
      <c r="AT102" s="27" t="str">
        <f aca="false">IF($Y102=1,$AK102*$I102*$M102,"")</f>
        <v/>
      </c>
    </row>
    <row r="103" customFormat="false" ht="15" hidden="false" customHeight="false" outlineLevel="0" collapsed="false">
      <c r="A103" s="9"/>
      <c r="B103" s="9"/>
      <c r="C103" s="9"/>
      <c r="D103" s="9"/>
      <c r="E103" s="9"/>
      <c r="F103" s="9"/>
      <c r="G103" s="9"/>
      <c r="H103" s="9"/>
      <c r="I103" s="9"/>
      <c r="J103" s="13"/>
      <c r="K103" s="9"/>
      <c r="L103" s="12"/>
      <c r="M103" s="9"/>
      <c r="N103" s="9"/>
      <c r="O103" s="9"/>
      <c r="P103" s="9"/>
      <c r="Q103" s="16"/>
      <c r="R103" s="13"/>
      <c r="S103" s="9"/>
      <c r="T103" s="18" t="str">
        <f aca="false">IF($C103="","",IFERROR(INDEX(Fournisseurs!$C$5:$C$24,MATCH($C103,Fournisseurs!$A$5:$A$24,0)),""))</f>
        <v/>
      </c>
      <c r="U103" s="25" t="str">
        <f aca="false">IF($C103="","",IFERROR(INDEX(Fournisseurs!$D$5:$D$24,MATCH($C103,Fournisseurs!$A$5:$A$24,0)),""))</f>
        <v/>
      </c>
      <c r="V103" s="26" t="str">
        <f aca="false">IF($C103="","",IFERROR(INDEX(Fournisseurs!$G$5:$G$24,MATCH($C103,Fournisseurs!$A$5:$A$24,0)),""))</f>
        <v/>
      </c>
      <c r="W103" s="18" t="str">
        <f aca="false">IF($C103="","",IFERROR(INDEX(Fournisseurs!$H$5:$H$24,MATCH($C103,Fournisseurs!$A$5:$A$24,0)),""))</f>
        <v/>
      </c>
      <c r="X103" s="18" t="str">
        <f aca="false">IF($C103="","",IFERROR(INDEX(Fournisseurs!$B$5:$B$24,MATCH($C103,Fournisseurs!$A$5:$A$24,0)),""))</f>
        <v/>
      </c>
      <c r="Y103" s="18" t="str">
        <f aca="false">IF($A103="","",IF(AND($A103&lt;&gt;"",$C103&lt;&gt;"",ISNUMBER($I103),ISNUMBER($J103),ISNUMBER($M103)),IF(AND($I103&gt;=1,$J103&gt;0,OR($K103="HT",$K103="TTC"),$M103&gt;=1,IFERROR(INDEX(Fournisseurs!$T$5:$T$24,MATCH($C103,Fournisseurs!$A$5:$A$24,0)),0)=1),1,0),0))</f>
        <v/>
      </c>
      <c r="Z103" s="27" t="str">
        <f aca="false">IF($Y103=1,$J103*(1-N($L103)),"")</f>
        <v/>
      </c>
      <c r="AA103" s="28" t="str">
        <f aca="false">IF($Y103=1,IF($K103="TTC",$Z103/(1+$V103),$Z103),"")</f>
        <v/>
      </c>
      <c r="AB103" s="28" t="str">
        <f aca="false">IF($Y103=1,IF($K103="TTC",$Z103-$AA103,$AA103*$V103),"")</f>
        <v/>
      </c>
      <c r="AC103" s="27" t="str">
        <f aca="false">IF($Y103=1,$AA103*$U103*$M103,"")</f>
        <v/>
      </c>
      <c r="AD103" s="26" t="str">
        <f aca="false">IF($Y103=1,$AC103/SUMIFS($AC$6:$AC$205,$C$6:$C$205,$C103,$Y$6:$Y$205,1),"")</f>
        <v/>
      </c>
      <c r="AE103" s="28" t="str">
        <f aca="false">IF($Y103=1,(INDEX(Fournisseurs!$J$5:$J$24,MATCH($C103,Fournisseurs!$A$5:$A$24,0))+INDEX(Fournisseurs!$K$5:$K$24,MATCH($C103,Fournisseurs!$A$5:$A$24,0)))*$U103*$AD103/($I103*$M103),"")</f>
        <v/>
      </c>
      <c r="AF103" s="28" t="str">
        <f aca="false">IF($Y103=1,INDEX(Fournisseurs!$L$5:$L$24,MATCH($C103,Fournisseurs!$A$5:$A$24,0))*$AD103/($I103*$M103),"")</f>
        <v/>
      </c>
      <c r="AG103" s="28" t="str">
        <f aca="false">IF($Y103=1,$AA103*$U103/$I103,"")</f>
        <v/>
      </c>
      <c r="AH103" s="28" t="str">
        <f aca="false">IF($Y103=1,$AB103*$U103/$I103,"")</f>
        <v/>
      </c>
      <c r="AI103" s="18" t="str">
        <f aca="false">IF($Y103=1,IF(AND(Paramètres!$B$4="EFFECTIVE",$W103="CH",$AB103&gt;0),1,0),"")</f>
        <v/>
      </c>
      <c r="AJ103" s="28" t="str">
        <f aca="false">IF($Y103=1,IF($X103&lt;&gt;"CH",($AG103+$AE103+$AF103)*Paramètres!$B$14,0),"")</f>
        <v/>
      </c>
      <c r="AK103" s="29" t="str">
        <f aca="false">IF($Y103=1,$AG103+IF($AI103=1,0,$AH103)+$AE103+$AF103+IF(Paramètres!$B$4="NOT_REGISTERED",$AJ103,0),"")</f>
        <v/>
      </c>
      <c r="AL103" s="27" t="str">
        <f aca="false">IF($Y103=1,($AK103+Paramètres!$B$7+Paramètres!$B$8+Paramètres!$B$9+Paramètres!$B$10)/((1-Paramètres!$B$11)/(1+Paramètres!$B$5)-Paramètres!$B$6),"")</f>
        <v/>
      </c>
      <c r="AM103" s="26" t="str">
        <f aca="false">IF(AND($Y103=1,ISNUMBER($R103)),IF($R103&gt;0,$AL103/$R103-1,""),"")</f>
        <v/>
      </c>
      <c r="AN103" s="27" t="str">
        <f aca="false">IF(AND($Y103=1,ISNUMBER($R103)),IF($R103&gt;0,$R103/(1+Paramètres!$B$5)-$AK103-($R103*Paramètres!$B$6+Paramètres!$B$7)-Paramètres!$B$8-Paramètres!$B$9-Paramètres!$B$10,""),"")</f>
        <v/>
      </c>
      <c r="AO103" s="26" t="str">
        <f aca="false">IF(ISNUMBER($AN103),$AN103/($R103/(1+Paramètres!$B$5)),"")</f>
        <v/>
      </c>
      <c r="AP103" s="30" t="str">
        <f aca="false">IF($A103="","",IF($Y103&lt;&gt;1,"INCOMPLET",IF(NOT(ISNUMBER($AM103)),"SANS RÉF. MARCHÉ",IF($AM103&lt;=Paramètres!$B$12,"OK",IF(AND($AO103&gt;=Paramètres!$B$15,$AN103&gt;=Paramètres!$B$16),"À REVOIR","NON RENTABLE")))))</f>
        <v/>
      </c>
      <c r="AQ103" s="18" t="str">
        <f aca="false">TRIM(IF(AND($Y103=1,ISNUMBER($N103)),IF($M103&lt;$N103,"MOQ ",""),"")&amp;IF(AND($Y103=1,ISNUMBER($O103)),IF($O103&lt;$I103*$M103,"DISPO ",""),"")&amp;IF($S103="O","FICTIF ","")&amp;IF($Y103=1,IF(AND($K103="TTC",$W103&lt;&gt;"CH"),"TVA-ÉTRANGÈRE ",""),""))</f>
        <v/>
      </c>
      <c r="AR103" s="18" t="str">
        <f aca="false">IF($Y103=1,COUNTIFS($A$6:$A$205,$A103,$AK$6:$AK$205,"&lt;"&amp;$AK103,$Y$6:$Y$205,1)+1,"")</f>
        <v/>
      </c>
      <c r="AS103" s="18" t="str">
        <f aca="false">IF(ISNUMBER($AR103),$A103&amp;"|"&amp;$AR103,"")</f>
        <v/>
      </c>
      <c r="AT103" s="27" t="str">
        <f aca="false">IF($Y103=1,$AK103*$I103*$M103,"")</f>
        <v/>
      </c>
    </row>
    <row r="104" customFormat="false" ht="15" hidden="false" customHeight="false" outlineLevel="0" collapsed="false">
      <c r="A104" s="9"/>
      <c r="B104" s="9"/>
      <c r="C104" s="9"/>
      <c r="D104" s="9"/>
      <c r="E104" s="9"/>
      <c r="F104" s="9"/>
      <c r="G104" s="9"/>
      <c r="H104" s="9"/>
      <c r="I104" s="9"/>
      <c r="J104" s="13"/>
      <c r="K104" s="9"/>
      <c r="L104" s="12"/>
      <c r="M104" s="9"/>
      <c r="N104" s="9"/>
      <c r="O104" s="9"/>
      <c r="P104" s="9"/>
      <c r="Q104" s="16"/>
      <c r="R104" s="13"/>
      <c r="S104" s="9"/>
      <c r="T104" s="18" t="str">
        <f aca="false">IF($C104="","",IFERROR(INDEX(Fournisseurs!$C$5:$C$24,MATCH($C104,Fournisseurs!$A$5:$A$24,0)),""))</f>
        <v/>
      </c>
      <c r="U104" s="25" t="str">
        <f aca="false">IF($C104="","",IFERROR(INDEX(Fournisseurs!$D$5:$D$24,MATCH($C104,Fournisseurs!$A$5:$A$24,0)),""))</f>
        <v/>
      </c>
      <c r="V104" s="26" t="str">
        <f aca="false">IF($C104="","",IFERROR(INDEX(Fournisseurs!$G$5:$G$24,MATCH($C104,Fournisseurs!$A$5:$A$24,0)),""))</f>
        <v/>
      </c>
      <c r="W104" s="18" t="str">
        <f aca="false">IF($C104="","",IFERROR(INDEX(Fournisseurs!$H$5:$H$24,MATCH($C104,Fournisseurs!$A$5:$A$24,0)),""))</f>
        <v/>
      </c>
      <c r="X104" s="18" t="str">
        <f aca="false">IF($C104="","",IFERROR(INDEX(Fournisseurs!$B$5:$B$24,MATCH($C104,Fournisseurs!$A$5:$A$24,0)),""))</f>
        <v/>
      </c>
      <c r="Y104" s="18" t="str">
        <f aca="false">IF($A104="","",IF(AND($A104&lt;&gt;"",$C104&lt;&gt;"",ISNUMBER($I104),ISNUMBER($J104),ISNUMBER($M104)),IF(AND($I104&gt;=1,$J104&gt;0,OR($K104="HT",$K104="TTC"),$M104&gt;=1,IFERROR(INDEX(Fournisseurs!$T$5:$T$24,MATCH($C104,Fournisseurs!$A$5:$A$24,0)),0)=1),1,0),0))</f>
        <v/>
      </c>
      <c r="Z104" s="27" t="str">
        <f aca="false">IF($Y104=1,$J104*(1-N($L104)),"")</f>
        <v/>
      </c>
      <c r="AA104" s="28" t="str">
        <f aca="false">IF($Y104=1,IF($K104="TTC",$Z104/(1+$V104),$Z104),"")</f>
        <v/>
      </c>
      <c r="AB104" s="28" t="str">
        <f aca="false">IF($Y104=1,IF($K104="TTC",$Z104-$AA104,$AA104*$V104),"")</f>
        <v/>
      </c>
      <c r="AC104" s="27" t="str">
        <f aca="false">IF($Y104=1,$AA104*$U104*$M104,"")</f>
        <v/>
      </c>
      <c r="AD104" s="26" t="str">
        <f aca="false">IF($Y104=1,$AC104/SUMIFS($AC$6:$AC$205,$C$6:$C$205,$C104,$Y$6:$Y$205,1),"")</f>
        <v/>
      </c>
      <c r="AE104" s="28" t="str">
        <f aca="false">IF($Y104=1,(INDEX(Fournisseurs!$J$5:$J$24,MATCH($C104,Fournisseurs!$A$5:$A$24,0))+INDEX(Fournisseurs!$K$5:$K$24,MATCH($C104,Fournisseurs!$A$5:$A$24,0)))*$U104*$AD104/($I104*$M104),"")</f>
        <v/>
      </c>
      <c r="AF104" s="28" t="str">
        <f aca="false">IF($Y104=1,INDEX(Fournisseurs!$L$5:$L$24,MATCH($C104,Fournisseurs!$A$5:$A$24,0))*$AD104/($I104*$M104),"")</f>
        <v/>
      </c>
      <c r="AG104" s="28" t="str">
        <f aca="false">IF($Y104=1,$AA104*$U104/$I104,"")</f>
        <v/>
      </c>
      <c r="AH104" s="28" t="str">
        <f aca="false">IF($Y104=1,$AB104*$U104/$I104,"")</f>
        <v/>
      </c>
      <c r="AI104" s="18" t="str">
        <f aca="false">IF($Y104=1,IF(AND(Paramètres!$B$4="EFFECTIVE",$W104="CH",$AB104&gt;0),1,0),"")</f>
        <v/>
      </c>
      <c r="AJ104" s="28" t="str">
        <f aca="false">IF($Y104=1,IF($X104&lt;&gt;"CH",($AG104+$AE104+$AF104)*Paramètres!$B$14,0),"")</f>
        <v/>
      </c>
      <c r="AK104" s="29" t="str">
        <f aca="false">IF($Y104=1,$AG104+IF($AI104=1,0,$AH104)+$AE104+$AF104+IF(Paramètres!$B$4="NOT_REGISTERED",$AJ104,0),"")</f>
        <v/>
      </c>
      <c r="AL104" s="27" t="str">
        <f aca="false">IF($Y104=1,($AK104+Paramètres!$B$7+Paramètres!$B$8+Paramètres!$B$9+Paramètres!$B$10)/((1-Paramètres!$B$11)/(1+Paramètres!$B$5)-Paramètres!$B$6),"")</f>
        <v/>
      </c>
      <c r="AM104" s="26" t="str">
        <f aca="false">IF(AND($Y104=1,ISNUMBER($R104)),IF($R104&gt;0,$AL104/$R104-1,""),"")</f>
        <v/>
      </c>
      <c r="AN104" s="27" t="str">
        <f aca="false">IF(AND($Y104=1,ISNUMBER($R104)),IF($R104&gt;0,$R104/(1+Paramètres!$B$5)-$AK104-($R104*Paramètres!$B$6+Paramètres!$B$7)-Paramètres!$B$8-Paramètres!$B$9-Paramètres!$B$10,""),"")</f>
        <v/>
      </c>
      <c r="AO104" s="26" t="str">
        <f aca="false">IF(ISNUMBER($AN104),$AN104/($R104/(1+Paramètres!$B$5)),"")</f>
        <v/>
      </c>
      <c r="AP104" s="30" t="str">
        <f aca="false">IF($A104="","",IF($Y104&lt;&gt;1,"INCOMPLET",IF(NOT(ISNUMBER($AM104)),"SANS RÉF. MARCHÉ",IF($AM104&lt;=Paramètres!$B$12,"OK",IF(AND($AO104&gt;=Paramètres!$B$15,$AN104&gt;=Paramètres!$B$16),"À REVOIR","NON RENTABLE")))))</f>
        <v/>
      </c>
      <c r="AQ104" s="18" t="str">
        <f aca="false">TRIM(IF(AND($Y104=1,ISNUMBER($N104)),IF($M104&lt;$N104,"MOQ ",""),"")&amp;IF(AND($Y104=1,ISNUMBER($O104)),IF($O104&lt;$I104*$M104,"DISPO ",""),"")&amp;IF($S104="O","FICTIF ","")&amp;IF($Y104=1,IF(AND($K104="TTC",$W104&lt;&gt;"CH"),"TVA-ÉTRANGÈRE ",""),""))</f>
        <v/>
      </c>
      <c r="AR104" s="18" t="str">
        <f aca="false">IF($Y104=1,COUNTIFS($A$6:$A$205,$A104,$AK$6:$AK$205,"&lt;"&amp;$AK104,$Y$6:$Y$205,1)+1,"")</f>
        <v/>
      </c>
      <c r="AS104" s="18" t="str">
        <f aca="false">IF(ISNUMBER($AR104),$A104&amp;"|"&amp;$AR104,"")</f>
        <v/>
      </c>
      <c r="AT104" s="27" t="str">
        <f aca="false">IF($Y104=1,$AK104*$I104*$M104,"")</f>
        <v/>
      </c>
    </row>
    <row r="105" customFormat="false" ht="15" hidden="false" customHeight="false" outlineLevel="0" collapsed="false">
      <c r="A105" s="9"/>
      <c r="B105" s="9"/>
      <c r="C105" s="9"/>
      <c r="D105" s="9"/>
      <c r="E105" s="9"/>
      <c r="F105" s="9"/>
      <c r="G105" s="9"/>
      <c r="H105" s="9"/>
      <c r="I105" s="9"/>
      <c r="J105" s="13"/>
      <c r="K105" s="9"/>
      <c r="L105" s="12"/>
      <c r="M105" s="9"/>
      <c r="N105" s="9"/>
      <c r="O105" s="9"/>
      <c r="P105" s="9"/>
      <c r="Q105" s="16"/>
      <c r="R105" s="13"/>
      <c r="S105" s="9"/>
      <c r="T105" s="18" t="str">
        <f aca="false">IF($C105="","",IFERROR(INDEX(Fournisseurs!$C$5:$C$24,MATCH($C105,Fournisseurs!$A$5:$A$24,0)),""))</f>
        <v/>
      </c>
      <c r="U105" s="25" t="str">
        <f aca="false">IF($C105="","",IFERROR(INDEX(Fournisseurs!$D$5:$D$24,MATCH($C105,Fournisseurs!$A$5:$A$24,0)),""))</f>
        <v/>
      </c>
      <c r="V105" s="26" t="str">
        <f aca="false">IF($C105="","",IFERROR(INDEX(Fournisseurs!$G$5:$G$24,MATCH($C105,Fournisseurs!$A$5:$A$24,0)),""))</f>
        <v/>
      </c>
      <c r="W105" s="18" t="str">
        <f aca="false">IF($C105="","",IFERROR(INDEX(Fournisseurs!$H$5:$H$24,MATCH($C105,Fournisseurs!$A$5:$A$24,0)),""))</f>
        <v/>
      </c>
      <c r="X105" s="18" t="str">
        <f aca="false">IF($C105="","",IFERROR(INDEX(Fournisseurs!$B$5:$B$24,MATCH($C105,Fournisseurs!$A$5:$A$24,0)),""))</f>
        <v/>
      </c>
      <c r="Y105" s="18" t="str">
        <f aca="false">IF($A105="","",IF(AND($A105&lt;&gt;"",$C105&lt;&gt;"",ISNUMBER($I105),ISNUMBER($J105),ISNUMBER($M105)),IF(AND($I105&gt;=1,$J105&gt;0,OR($K105="HT",$K105="TTC"),$M105&gt;=1,IFERROR(INDEX(Fournisseurs!$T$5:$T$24,MATCH($C105,Fournisseurs!$A$5:$A$24,0)),0)=1),1,0),0))</f>
        <v/>
      </c>
      <c r="Z105" s="27" t="str">
        <f aca="false">IF($Y105=1,$J105*(1-N($L105)),"")</f>
        <v/>
      </c>
      <c r="AA105" s="28" t="str">
        <f aca="false">IF($Y105=1,IF($K105="TTC",$Z105/(1+$V105),$Z105),"")</f>
        <v/>
      </c>
      <c r="AB105" s="28" t="str">
        <f aca="false">IF($Y105=1,IF($K105="TTC",$Z105-$AA105,$AA105*$V105),"")</f>
        <v/>
      </c>
      <c r="AC105" s="27" t="str">
        <f aca="false">IF($Y105=1,$AA105*$U105*$M105,"")</f>
        <v/>
      </c>
      <c r="AD105" s="26" t="str">
        <f aca="false">IF($Y105=1,$AC105/SUMIFS($AC$6:$AC$205,$C$6:$C$205,$C105,$Y$6:$Y$205,1),"")</f>
        <v/>
      </c>
      <c r="AE105" s="28" t="str">
        <f aca="false">IF($Y105=1,(INDEX(Fournisseurs!$J$5:$J$24,MATCH($C105,Fournisseurs!$A$5:$A$24,0))+INDEX(Fournisseurs!$K$5:$K$24,MATCH($C105,Fournisseurs!$A$5:$A$24,0)))*$U105*$AD105/($I105*$M105),"")</f>
        <v/>
      </c>
      <c r="AF105" s="28" t="str">
        <f aca="false">IF($Y105=1,INDEX(Fournisseurs!$L$5:$L$24,MATCH($C105,Fournisseurs!$A$5:$A$24,0))*$AD105/($I105*$M105),"")</f>
        <v/>
      </c>
      <c r="AG105" s="28" t="str">
        <f aca="false">IF($Y105=1,$AA105*$U105/$I105,"")</f>
        <v/>
      </c>
      <c r="AH105" s="28" t="str">
        <f aca="false">IF($Y105=1,$AB105*$U105/$I105,"")</f>
        <v/>
      </c>
      <c r="AI105" s="18" t="str">
        <f aca="false">IF($Y105=1,IF(AND(Paramètres!$B$4="EFFECTIVE",$W105="CH",$AB105&gt;0),1,0),"")</f>
        <v/>
      </c>
      <c r="AJ105" s="28" t="str">
        <f aca="false">IF($Y105=1,IF($X105&lt;&gt;"CH",($AG105+$AE105+$AF105)*Paramètres!$B$14,0),"")</f>
        <v/>
      </c>
      <c r="AK105" s="29" t="str">
        <f aca="false">IF($Y105=1,$AG105+IF($AI105=1,0,$AH105)+$AE105+$AF105+IF(Paramètres!$B$4="NOT_REGISTERED",$AJ105,0),"")</f>
        <v/>
      </c>
      <c r="AL105" s="27" t="str">
        <f aca="false">IF($Y105=1,($AK105+Paramètres!$B$7+Paramètres!$B$8+Paramètres!$B$9+Paramètres!$B$10)/((1-Paramètres!$B$11)/(1+Paramètres!$B$5)-Paramètres!$B$6),"")</f>
        <v/>
      </c>
      <c r="AM105" s="26" t="str">
        <f aca="false">IF(AND($Y105=1,ISNUMBER($R105)),IF($R105&gt;0,$AL105/$R105-1,""),"")</f>
        <v/>
      </c>
      <c r="AN105" s="27" t="str">
        <f aca="false">IF(AND($Y105=1,ISNUMBER($R105)),IF($R105&gt;0,$R105/(1+Paramètres!$B$5)-$AK105-($R105*Paramètres!$B$6+Paramètres!$B$7)-Paramètres!$B$8-Paramètres!$B$9-Paramètres!$B$10,""),"")</f>
        <v/>
      </c>
      <c r="AO105" s="26" t="str">
        <f aca="false">IF(ISNUMBER($AN105),$AN105/($R105/(1+Paramètres!$B$5)),"")</f>
        <v/>
      </c>
      <c r="AP105" s="30" t="str">
        <f aca="false">IF($A105="","",IF($Y105&lt;&gt;1,"INCOMPLET",IF(NOT(ISNUMBER($AM105)),"SANS RÉF. MARCHÉ",IF($AM105&lt;=Paramètres!$B$12,"OK",IF(AND($AO105&gt;=Paramètres!$B$15,$AN105&gt;=Paramètres!$B$16),"À REVOIR","NON RENTABLE")))))</f>
        <v/>
      </c>
      <c r="AQ105" s="18" t="str">
        <f aca="false">TRIM(IF(AND($Y105=1,ISNUMBER($N105)),IF($M105&lt;$N105,"MOQ ",""),"")&amp;IF(AND($Y105=1,ISNUMBER($O105)),IF($O105&lt;$I105*$M105,"DISPO ",""),"")&amp;IF($S105="O","FICTIF ","")&amp;IF($Y105=1,IF(AND($K105="TTC",$W105&lt;&gt;"CH"),"TVA-ÉTRANGÈRE ",""),""))</f>
        <v/>
      </c>
      <c r="AR105" s="18" t="str">
        <f aca="false">IF($Y105=1,COUNTIFS($A$6:$A$205,$A105,$AK$6:$AK$205,"&lt;"&amp;$AK105,$Y$6:$Y$205,1)+1,"")</f>
        <v/>
      </c>
      <c r="AS105" s="18" t="str">
        <f aca="false">IF(ISNUMBER($AR105),$A105&amp;"|"&amp;$AR105,"")</f>
        <v/>
      </c>
      <c r="AT105" s="27" t="str">
        <f aca="false">IF($Y105=1,$AK105*$I105*$M105,"")</f>
        <v/>
      </c>
    </row>
    <row r="106" customFormat="false" ht="15" hidden="false" customHeight="false" outlineLevel="0" collapsed="false">
      <c r="A106" s="9"/>
      <c r="B106" s="9"/>
      <c r="C106" s="9"/>
      <c r="D106" s="9"/>
      <c r="E106" s="9"/>
      <c r="F106" s="9"/>
      <c r="G106" s="9"/>
      <c r="H106" s="9"/>
      <c r="I106" s="9"/>
      <c r="J106" s="13"/>
      <c r="K106" s="9"/>
      <c r="L106" s="12"/>
      <c r="M106" s="9"/>
      <c r="N106" s="9"/>
      <c r="O106" s="9"/>
      <c r="P106" s="9"/>
      <c r="Q106" s="16"/>
      <c r="R106" s="13"/>
      <c r="S106" s="9"/>
      <c r="T106" s="18" t="str">
        <f aca="false">IF($C106="","",IFERROR(INDEX(Fournisseurs!$C$5:$C$24,MATCH($C106,Fournisseurs!$A$5:$A$24,0)),""))</f>
        <v/>
      </c>
      <c r="U106" s="25" t="str">
        <f aca="false">IF($C106="","",IFERROR(INDEX(Fournisseurs!$D$5:$D$24,MATCH($C106,Fournisseurs!$A$5:$A$24,0)),""))</f>
        <v/>
      </c>
      <c r="V106" s="26" t="str">
        <f aca="false">IF($C106="","",IFERROR(INDEX(Fournisseurs!$G$5:$G$24,MATCH($C106,Fournisseurs!$A$5:$A$24,0)),""))</f>
        <v/>
      </c>
      <c r="W106" s="18" t="str">
        <f aca="false">IF($C106="","",IFERROR(INDEX(Fournisseurs!$H$5:$H$24,MATCH($C106,Fournisseurs!$A$5:$A$24,0)),""))</f>
        <v/>
      </c>
      <c r="X106" s="18" t="str">
        <f aca="false">IF($C106="","",IFERROR(INDEX(Fournisseurs!$B$5:$B$24,MATCH($C106,Fournisseurs!$A$5:$A$24,0)),""))</f>
        <v/>
      </c>
      <c r="Y106" s="18" t="str">
        <f aca="false">IF($A106="","",IF(AND($A106&lt;&gt;"",$C106&lt;&gt;"",ISNUMBER($I106),ISNUMBER($J106),ISNUMBER($M106)),IF(AND($I106&gt;=1,$J106&gt;0,OR($K106="HT",$K106="TTC"),$M106&gt;=1,IFERROR(INDEX(Fournisseurs!$T$5:$T$24,MATCH($C106,Fournisseurs!$A$5:$A$24,0)),0)=1),1,0),0))</f>
        <v/>
      </c>
      <c r="Z106" s="27" t="str">
        <f aca="false">IF($Y106=1,$J106*(1-N($L106)),"")</f>
        <v/>
      </c>
      <c r="AA106" s="28" t="str">
        <f aca="false">IF($Y106=1,IF($K106="TTC",$Z106/(1+$V106),$Z106),"")</f>
        <v/>
      </c>
      <c r="AB106" s="28" t="str">
        <f aca="false">IF($Y106=1,IF($K106="TTC",$Z106-$AA106,$AA106*$V106),"")</f>
        <v/>
      </c>
      <c r="AC106" s="27" t="str">
        <f aca="false">IF($Y106=1,$AA106*$U106*$M106,"")</f>
        <v/>
      </c>
      <c r="AD106" s="26" t="str">
        <f aca="false">IF($Y106=1,$AC106/SUMIFS($AC$6:$AC$205,$C$6:$C$205,$C106,$Y$6:$Y$205,1),"")</f>
        <v/>
      </c>
      <c r="AE106" s="28" t="str">
        <f aca="false">IF($Y106=1,(INDEX(Fournisseurs!$J$5:$J$24,MATCH($C106,Fournisseurs!$A$5:$A$24,0))+INDEX(Fournisseurs!$K$5:$K$24,MATCH($C106,Fournisseurs!$A$5:$A$24,0)))*$U106*$AD106/($I106*$M106),"")</f>
        <v/>
      </c>
      <c r="AF106" s="28" t="str">
        <f aca="false">IF($Y106=1,INDEX(Fournisseurs!$L$5:$L$24,MATCH($C106,Fournisseurs!$A$5:$A$24,0))*$AD106/($I106*$M106),"")</f>
        <v/>
      </c>
      <c r="AG106" s="28" t="str">
        <f aca="false">IF($Y106=1,$AA106*$U106/$I106,"")</f>
        <v/>
      </c>
      <c r="AH106" s="28" t="str">
        <f aca="false">IF($Y106=1,$AB106*$U106/$I106,"")</f>
        <v/>
      </c>
      <c r="AI106" s="18" t="str">
        <f aca="false">IF($Y106=1,IF(AND(Paramètres!$B$4="EFFECTIVE",$W106="CH",$AB106&gt;0),1,0),"")</f>
        <v/>
      </c>
      <c r="AJ106" s="28" t="str">
        <f aca="false">IF($Y106=1,IF($X106&lt;&gt;"CH",($AG106+$AE106+$AF106)*Paramètres!$B$14,0),"")</f>
        <v/>
      </c>
      <c r="AK106" s="29" t="str">
        <f aca="false">IF($Y106=1,$AG106+IF($AI106=1,0,$AH106)+$AE106+$AF106+IF(Paramètres!$B$4="NOT_REGISTERED",$AJ106,0),"")</f>
        <v/>
      </c>
      <c r="AL106" s="27" t="str">
        <f aca="false">IF($Y106=1,($AK106+Paramètres!$B$7+Paramètres!$B$8+Paramètres!$B$9+Paramètres!$B$10)/((1-Paramètres!$B$11)/(1+Paramètres!$B$5)-Paramètres!$B$6),"")</f>
        <v/>
      </c>
      <c r="AM106" s="26" t="str">
        <f aca="false">IF(AND($Y106=1,ISNUMBER($R106)),IF($R106&gt;0,$AL106/$R106-1,""),"")</f>
        <v/>
      </c>
      <c r="AN106" s="27" t="str">
        <f aca="false">IF(AND($Y106=1,ISNUMBER($R106)),IF($R106&gt;0,$R106/(1+Paramètres!$B$5)-$AK106-($R106*Paramètres!$B$6+Paramètres!$B$7)-Paramètres!$B$8-Paramètres!$B$9-Paramètres!$B$10,""),"")</f>
        <v/>
      </c>
      <c r="AO106" s="26" t="str">
        <f aca="false">IF(ISNUMBER($AN106),$AN106/($R106/(1+Paramètres!$B$5)),"")</f>
        <v/>
      </c>
      <c r="AP106" s="30" t="str">
        <f aca="false">IF($A106="","",IF($Y106&lt;&gt;1,"INCOMPLET",IF(NOT(ISNUMBER($AM106)),"SANS RÉF. MARCHÉ",IF($AM106&lt;=Paramètres!$B$12,"OK",IF(AND($AO106&gt;=Paramètres!$B$15,$AN106&gt;=Paramètres!$B$16),"À REVOIR","NON RENTABLE")))))</f>
        <v/>
      </c>
      <c r="AQ106" s="18" t="str">
        <f aca="false">TRIM(IF(AND($Y106=1,ISNUMBER($N106)),IF($M106&lt;$N106,"MOQ ",""),"")&amp;IF(AND($Y106=1,ISNUMBER($O106)),IF($O106&lt;$I106*$M106,"DISPO ",""),"")&amp;IF($S106="O","FICTIF ","")&amp;IF($Y106=1,IF(AND($K106="TTC",$W106&lt;&gt;"CH"),"TVA-ÉTRANGÈRE ",""),""))</f>
        <v/>
      </c>
      <c r="AR106" s="18" t="str">
        <f aca="false">IF($Y106=1,COUNTIFS($A$6:$A$205,$A106,$AK$6:$AK$205,"&lt;"&amp;$AK106,$Y$6:$Y$205,1)+1,"")</f>
        <v/>
      </c>
      <c r="AS106" s="18" t="str">
        <f aca="false">IF(ISNUMBER($AR106),$A106&amp;"|"&amp;$AR106,"")</f>
        <v/>
      </c>
      <c r="AT106" s="27" t="str">
        <f aca="false">IF($Y106=1,$AK106*$I106*$M106,"")</f>
        <v/>
      </c>
    </row>
    <row r="107" customFormat="false" ht="15" hidden="false" customHeight="false" outlineLevel="0" collapsed="false">
      <c r="A107" s="9"/>
      <c r="B107" s="9"/>
      <c r="C107" s="9"/>
      <c r="D107" s="9"/>
      <c r="E107" s="9"/>
      <c r="F107" s="9"/>
      <c r="G107" s="9"/>
      <c r="H107" s="9"/>
      <c r="I107" s="9"/>
      <c r="J107" s="13"/>
      <c r="K107" s="9"/>
      <c r="L107" s="12"/>
      <c r="M107" s="9"/>
      <c r="N107" s="9"/>
      <c r="O107" s="9"/>
      <c r="P107" s="9"/>
      <c r="Q107" s="16"/>
      <c r="R107" s="13"/>
      <c r="S107" s="9"/>
      <c r="T107" s="18" t="str">
        <f aca="false">IF($C107="","",IFERROR(INDEX(Fournisseurs!$C$5:$C$24,MATCH($C107,Fournisseurs!$A$5:$A$24,0)),""))</f>
        <v/>
      </c>
      <c r="U107" s="25" t="str">
        <f aca="false">IF($C107="","",IFERROR(INDEX(Fournisseurs!$D$5:$D$24,MATCH($C107,Fournisseurs!$A$5:$A$24,0)),""))</f>
        <v/>
      </c>
      <c r="V107" s="26" t="str">
        <f aca="false">IF($C107="","",IFERROR(INDEX(Fournisseurs!$G$5:$G$24,MATCH($C107,Fournisseurs!$A$5:$A$24,0)),""))</f>
        <v/>
      </c>
      <c r="W107" s="18" t="str">
        <f aca="false">IF($C107="","",IFERROR(INDEX(Fournisseurs!$H$5:$H$24,MATCH($C107,Fournisseurs!$A$5:$A$24,0)),""))</f>
        <v/>
      </c>
      <c r="X107" s="18" t="str">
        <f aca="false">IF($C107="","",IFERROR(INDEX(Fournisseurs!$B$5:$B$24,MATCH($C107,Fournisseurs!$A$5:$A$24,0)),""))</f>
        <v/>
      </c>
      <c r="Y107" s="18" t="str">
        <f aca="false">IF($A107="","",IF(AND($A107&lt;&gt;"",$C107&lt;&gt;"",ISNUMBER($I107),ISNUMBER($J107),ISNUMBER($M107)),IF(AND($I107&gt;=1,$J107&gt;0,OR($K107="HT",$K107="TTC"),$M107&gt;=1,IFERROR(INDEX(Fournisseurs!$T$5:$T$24,MATCH($C107,Fournisseurs!$A$5:$A$24,0)),0)=1),1,0),0))</f>
        <v/>
      </c>
      <c r="Z107" s="27" t="str">
        <f aca="false">IF($Y107=1,$J107*(1-N($L107)),"")</f>
        <v/>
      </c>
      <c r="AA107" s="28" t="str">
        <f aca="false">IF($Y107=1,IF($K107="TTC",$Z107/(1+$V107),$Z107),"")</f>
        <v/>
      </c>
      <c r="AB107" s="28" t="str">
        <f aca="false">IF($Y107=1,IF($K107="TTC",$Z107-$AA107,$AA107*$V107),"")</f>
        <v/>
      </c>
      <c r="AC107" s="27" t="str">
        <f aca="false">IF($Y107=1,$AA107*$U107*$M107,"")</f>
        <v/>
      </c>
      <c r="AD107" s="26" t="str">
        <f aca="false">IF($Y107=1,$AC107/SUMIFS($AC$6:$AC$205,$C$6:$C$205,$C107,$Y$6:$Y$205,1),"")</f>
        <v/>
      </c>
      <c r="AE107" s="28" t="str">
        <f aca="false">IF($Y107=1,(INDEX(Fournisseurs!$J$5:$J$24,MATCH($C107,Fournisseurs!$A$5:$A$24,0))+INDEX(Fournisseurs!$K$5:$K$24,MATCH($C107,Fournisseurs!$A$5:$A$24,0)))*$U107*$AD107/($I107*$M107),"")</f>
        <v/>
      </c>
      <c r="AF107" s="28" t="str">
        <f aca="false">IF($Y107=1,INDEX(Fournisseurs!$L$5:$L$24,MATCH($C107,Fournisseurs!$A$5:$A$24,0))*$AD107/($I107*$M107),"")</f>
        <v/>
      </c>
      <c r="AG107" s="28" t="str">
        <f aca="false">IF($Y107=1,$AA107*$U107/$I107,"")</f>
        <v/>
      </c>
      <c r="AH107" s="28" t="str">
        <f aca="false">IF($Y107=1,$AB107*$U107/$I107,"")</f>
        <v/>
      </c>
      <c r="AI107" s="18" t="str">
        <f aca="false">IF($Y107=1,IF(AND(Paramètres!$B$4="EFFECTIVE",$W107="CH",$AB107&gt;0),1,0),"")</f>
        <v/>
      </c>
      <c r="AJ107" s="28" t="str">
        <f aca="false">IF($Y107=1,IF($X107&lt;&gt;"CH",($AG107+$AE107+$AF107)*Paramètres!$B$14,0),"")</f>
        <v/>
      </c>
      <c r="AK107" s="29" t="str">
        <f aca="false">IF($Y107=1,$AG107+IF($AI107=1,0,$AH107)+$AE107+$AF107+IF(Paramètres!$B$4="NOT_REGISTERED",$AJ107,0),"")</f>
        <v/>
      </c>
      <c r="AL107" s="27" t="str">
        <f aca="false">IF($Y107=1,($AK107+Paramètres!$B$7+Paramètres!$B$8+Paramètres!$B$9+Paramètres!$B$10)/((1-Paramètres!$B$11)/(1+Paramètres!$B$5)-Paramètres!$B$6),"")</f>
        <v/>
      </c>
      <c r="AM107" s="26" t="str">
        <f aca="false">IF(AND($Y107=1,ISNUMBER($R107)),IF($R107&gt;0,$AL107/$R107-1,""),"")</f>
        <v/>
      </c>
      <c r="AN107" s="27" t="str">
        <f aca="false">IF(AND($Y107=1,ISNUMBER($R107)),IF($R107&gt;0,$R107/(1+Paramètres!$B$5)-$AK107-($R107*Paramètres!$B$6+Paramètres!$B$7)-Paramètres!$B$8-Paramètres!$B$9-Paramètres!$B$10,""),"")</f>
        <v/>
      </c>
      <c r="AO107" s="26" t="str">
        <f aca="false">IF(ISNUMBER($AN107),$AN107/($R107/(1+Paramètres!$B$5)),"")</f>
        <v/>
      </c>
      <c r="AP107" s="30" t="str">
        <f aca="false">IF($A107="","",IF($Y107&lt;&gt;1,"INCOMPLET",IF(NOT(ISNUMBER($AM107)),"SANS RÉF. MARCHÉ",IF($AM107&lt;=Paramètres!$B$12,"OK",IF(AND($AO107&gt;=Paramètres!$B$15,$AN107&gt;=Paramètres!$B$16),"À REVOIR","NON RENTABLE")))))</f>
        <v/>
      </c>
      <c r="AQ107" s="18" t="str">
        <f aca="false">TRIM(IF(AND($Y107=1,ISNUMBER($N107)),IF($M107&lt;$N107,"MOQ ",""),"")&amp;IF(AND($Y107=1,ISNUMBER($O107)),IF($O107&lt;$I107*$M107,"DISPO ",""),"")&amp;IF($S107="O","FICTIF ","")&amp;IF($Y107=1,IF(AND($K107="TTC",$W107&lt;&gt;"CH"),"TVA-ÉTRANGÈRE ",""),""))</f>
        <v/>
      </c>
      <c r="AR107" s="18" t="str">
        <f aca="false">IF($Y107=1,COUNTIFS($A$6:$A$205,$A107,$AK$6:$AK$205,"&lt;"&amp;$AK107,$Y$6:$Y$205,1)+1,"")</f>
        <v/>
      </c>
      <c r="AS107" s="18" t="str">
        <f aca="false">IF(ISNUMBER($AR107),$A107&amp;"|"&amp;$AR107,"")</f>
        <v/>
      </c>
      <c r="AT107" s="27" t="str">
        <f aca="false">IF($Y107=1,$AK107*$I107*$M107,"")</f>
        <v/>
      </c>
    </row>
    <row r="108" customFormat="false" ht="15" hidden="false" customHeight="false" outlineLevel="0" collapsed="false">
      <c r="A108" s="9"/>
      <c r="B108" s="9"/>
      <c r="C108" s="9"/>
      <c r="D108" s="9"/>
      <c r="E108" s="9"/>
      <c r="F108" s="9"/>
      <c r="G108" s="9"/>
      <c r="H108" s="9"/>
      <c r="I108" s="9"/>
      <c r="J108" s="13"/>
      <c r="K108" s="9"/>
      <c r="L108" s="12"/>
      <c r="M108" s="9"/>
      <c r="N108" s="9"/>
      <c r="O108" s="9"/>
      <c r="P108" s="9"/>
      <c r="Q108" s="16"/>
      <c r="R108" s="13"/>
      <c r="S108" s="9"/>
      <c r="T108" s="18" t="str">
        <f aca="false">IF($C108="","",IFERROR(INDEX(Fournisseurs!$C$5:$C$24,MATCH($C108,Fournisseurs!$A$5:$A$24,0)),""))</f>
        <v/>
      </c>
      <c r="U108" s="25" t="str">
        <f aca="false">IF($C108="","",IFERROR(INDEX(Fournisseurs!$D$5:$D$24,MATCH($C108,Fournisseurs!$A$5:$A$24,0)),""))</f>
        <v/>
      </c>
      <c r="V108" s="26" t="str">
        <f aca="false">IF($C108="","",IFERROR(INDEX(Fournisseurs!$G$5:$G$24,MATCH($C108,Fournisseurs!$A$5:$A$24,0)),""))</f>
        <v/>
      </c>
      <c r="W108" s="18" t="str">
        <f aca="false">IF($C108="","",IFERROR(INDEX(Fournisseurs!$H$5:$H$24,MATCH($C108,Fournisseurs!$A$5:$A$24,0)),""))</f>
        <v/>
      </c>
      <c r="X108" s="18" t="str">
        <f aca="false">IF($C108="","",IFERROR(INDEX(Fournisseurs!$B$5:$B$24,MATCH($C108,Fournisseurs!$A$5:$A$24,0)),""))</f>
        <v/>
      </c>
      <c r="Y108" s="18" t="str">
        <f aca="false">IF($A108="","",IF(AND($A108&lt;&gt;"",$C108&lt;&gt;"",ISNUMBER($I108),ISNUMBER($J108),ISNUMBER($M108)),IF(AND($I108&gt;=1,$J108&gt;0,OR($K108="HT",$K108="TTC"),$M108&gt;=1,IFERROR(INDEX(Fournisseurs!$T$5:$T$24,MATCH($C108,Fournisseurs!$A$5:$A$24,0)),0)=1),1,0),0))</f>
        <v/>
      </c>
      <c r="Z108" s="27" t="str">
        <f aca="false">IF($Y108=1,$J108*(1-N($L108)),"")</f>
        <v/>
      </c>
      <c r="AA108" s="28" t="str">
        <f aca="false">IF($Y108=1,IF($K108="TTC",$Z108/(1+$V108),$Z108),"")</f>
        <v/>
      </c>
      <c r="AB108" s="28" t="str">
        <f aca="false">IF($Y108=1,IF($K108="TTC",$Z108-$AA108,$AA108*$V108),"")</f>
        <v/>
      </c>
      <c r="AC108" s="27" t="str">
        <f aca="false">IF($Y108=1,$AA108*$U108*$M108,"")</f>
        <v/>
      </c>
      <c r="AD108" s="26" t="str">
        <f aca="false">IF($Y108=1,$AC108/SUMIFS($AC$6:$AC$205,$C$6:$C$205,$C108,$Y$6:$Y$205,1),"")</f>
        <v/>
      </c>
      <c r="AE108" s="28" t="str">
        <f aca="false">IF($Y108=1,(INDEX(Fournisseurs!$J$5:$J$24,MATCH($C108,Fournisseurs!$A$5:$A$24,0))+INDEX(Fournisseurs!$K$5:$K$24,MATCH($C108,Fournisseurs!$A$5:$A$24,0)))*$U108*$AD108/($I108*$M108),"")</f>
        <v/>
      </c>
      <c r="AF108" s="28" t="str">
        <f aca="false">IF($Y108=1,INDEX(Fournisseurs!$L$5:$L$24,MATCH($C108,Fournisseurs!$A$5:$A$24,0))*$AD108/($I108*$M108),"")</f>
        <v/>
      </c>
      <c r="AG108" s="28" t="str">
        <f aca="false">IF($Y108=1,$AA108*$U108/$I108,"")</f>
        <v/>
      </c>
      <c r="AH108" s="28" t="str">
        <f aca="false">IF($Y108=1,$AB108*$U108/$I108,"")</f>
        <v/>
      </c>
      <c r="AI108" s="18" t="str">
        <f aca="false">IF($Y108=1,IF(AND(Paramètres!$B$4="EFFECTIVE",$W108="CH",$AB108&gt;0),1,0),"")</f>
        <v/>
      </c>
      <c r="AJ108" s="28" t="str">
        <f aca="false">IF($Y108=1,IF($X108&lt;&gt;"CH",($AG108+$AE108+$AF108)*Paramètres!$B$14,0),"")</f>
        <v/>
      </c>
      <c r="AK108" s="29" t="str">
        <f aca="false">IF($Y108=1,$AG108+IF($AI108=1,0,$AH108)+$AE108+$AF108+IF(Paramètres!$B$4="NOT_REGISTERED",$AJ108,0),"")</f>
        <v/>
      </c>
      <c r="AL108" s="27" t="str">
        <f aca="false">IF($Y108=1,($AK108+Paramètres!$B$7+Paramètres!$B$8+Paramètres!$B$9+Paramètres!$B$10)/((1-Paramètres!$B$11)/(1+Paramètres!$B$5)-Paramètres!$B$6),"")</f>
        <v/>
      </c>
      <c r="AM108" s="26" t="str">
        <f aca="false">IF(AND($Y108=1,ISNUMBER($R108)),IF($R108&gt;0,$AL108/$R108-1,""),"")</f>
        <v/>
      </c>
      <c r="AN108" s="27" t="str">
        <f aca="false">IF(AND($Y108=1,ISNUMBER($R108)),IF($R108&gt;0,$R108/(1+Paramètres!$B$5)-$AK108-($R108*Paramètres!$B$6+Paramètres!$B$7)-Paramètres!$B$8-Paramètres!$B$9-Paramètres!$B$10,""),"")</f>
        <v/>
      </c>
      <c r="AO108" s="26" t="str">
        <f aca="false">IF(ISNUMBER($AN108),$AN108/($R108/(1+Paramètres!$B$5)),"")</f>
        <v/>
      </c>
      <c r="AP108" s="30" t="str">
        <f aca="false">IF($A108="","",IF($Y108&lt;&gt;1,"INCOMPLET",IF(NOT(ISNUMBER($AM108)),"SANS RÉF. MARCHÉ",IF($AM108&lt;=Paramètres!$B$12,"OK",IF(AND($AO108&gt;=Paramètres!$B$15,$AN108&gt;=Paramètres!$B$16),"À REVOIR","NON RENTABLE")))))</f>
        <v/>
      </c>
      <c r="AQ108" s="18" t="str">
        <f aca="false">TRIM(IF(AND($Y108=1,ISNUMBER($N108)),IF($M108&lt;$N108,"MOQ ",""),"")&amp;IF(AND($Y108=1,ISNUMBER($O108)),IF($O108&lt;$I108*$M108,"DISPO ",""),"")&amp;IF($S108="O","FICTIF ","")&amp;IF($Y108=1,IF(AND($K108="TTC",$W108&lt;&gt;"CH"),"TVA-ÉTRANGÈRE ",""),""))</f>
        <v/>
      </c>
      <c r="AR108" s="18" t="str">
        <f aca="false">IF($Y108=1,COUNTIFS($A$6:$A$205,$A108,$AK$6:$AK$205,"&lt;"&amp;$AK108,$Y$6:$Y$205,1)+1,"")</f>
        <v/>
      </c>
      <c r="AS108" s="18" t="str">
        <f aca="false">IF(ISNUMBER($AR108),$A108&amp;"|"&amp;$AR108,"")</f>
        <v/>
      </c>
      <c r="AT108" s="27" t="str">
        <f aca="false">IF($Y108=1,$AK108*$I108*$M108,"")</f>
        <v/>
      </c>
    </row>
    <row r="109" customFormat="false" ht="15" hidden="false" customHeight="false" outlineLevel="0" collapsed="false">
      <c r="A109" s="9"/>
      <c r="B109" s="9"/>
      <c r="C109" s="9"/>
      <c r="D109" s="9"/>
      <c r="E109" s="9"/>
      <c r="F109" s="9"/>
      <c r="G109" s="9"/>
      <c r="H109" s="9"/>
      <c r="I109" s="9"/>
      <c r="J109" s="13"/>
      <c r="K109" s="9"/>
      <c r="L109" s="12"/>
      <c r="M109" s="9"/>
      <c r="N109" s="9"/>
      <c r="O109" s="9"/>
      <c r="P109" s="9"/>
      <c r="Q109" s="16"/>
      <c r="R109" s="13"/>
      <c r="S109" s="9"/>
      <c r="T109" s="18" t="str">
        <f aca="false">IF($C109="","",IFERROR(INDEX(Fournisseurs!$C$5:$C$24,MATCH($C109,Fournisseurs!$A$5:$A$24,0)),""))</f>
        <v/>
      </c>
      <c r="U109" s="25" t="str">
        <f aca="false">IF($C109="","",IFERROR(INDEX(Fournisseurs!$D$5:$D$24,MATCH($C109,Fournisseurs!$A$5:$A$24,0)),""))</f>
        <v/>
      </c>
      <c r="V109" s="26" t="str">
        <f aca="false">IF($C109="","",IFERROR(INDEX(Fournisseurs!$G$5:$G$24,MATCH($C109,Fournisseurs!$A$5:$A$24,0)),""))</f>
        <v/>
      </c>
      <c r="W109" s="18" t="str">
        <f aca="false">IF($C109="","",IFERROR(INDEX(Fournisseurs!$H$5:$H$24,MATCH($C109,Fournisseurs!$A$5:$A$24,0)),""))</f>
        <v/>
      </c>
      <c r="X109" s="18" t="str">
        <f aca="false">IF($C109="","",IFERROR(INDEX(Fournisseurs!$B$5:$B$24,MATCH($C109,Fournisseurs!$A$5:$A$24,0)),""))</f>
        <v/>
      </c>
      <c r="Y109" s="18" t="str">
        <f aca="false">IF($A109="","",IF(AND($A109&lt;&gt;"",$C109&lt;&gt;"",ISNUMBER($I109),ISNUMBER($J109),ISNUMBER($M109)),IF(AND($I109&gt;=1,$J109&gt;0,OR($K109="HT",$K109="TTC"),$M109&gt;=1,IFERROR(INDEX(Fournisseurs!$T$5:$T$24,MATCH($C109,Fournisseurs!$A$5:$A$24,0)),0)=1),1,0),0))</f>
        <v/>
      </c>
      <c r="Z109" s="27" t="str">
        <f aca="false">IF($Y109=1,$J109*(1-N($L109)),"")</f>
        <v/>
      </c>
      <c r="AA109" s="28" t="str">
        <f aca="false">IF($Y109=1,IF($K109="TTC",$Z109/(1+$V109),$Z109),"")</f>
        <v/>
      </c>
      <c r="AB109" s="28" t="str">
        <f aca="false">IF($Y109=1,IF($K109="TTC",$Z109-$AA109,$AA109*$V109),"")</f>
        <v/>
      </c>
      <c r="AC109" s="27" t="str">
        <f aca="false">IF($Y109=1,$AA109*$U109*$M109,"")</f>
        <v/>
      </c>
      <c r="AD109" s="26" t="str">
        <f aca="false">IF($Y109=1,$AC109/SUMIFS($AC$6:$AC$205,$C$6:$C$205,$C109,$Y$6:$Y$205,1),"")</f>
        <v/>
      </c>
      <c r="AE109" s="28" t="str">
        <f aca="false">IF($Y109=1,(INDEX(Fournisseurs!$J$5:$J$24,MATCH($C109,Fournisseurs!$A$5:$A$24,0))+INDEX(Fournisseurs!$K$5:$K$24,MATCH($C109,Fournisseurs!$A$5:$A$24,0)))*$U109*$AD109/($I109*$M109),"")</f>
        <v/>
      </c>
      <c r="AF109" s="28" t="str">
        <f aca="false">IF($Y109=1,INDEX(Fournisseurs!$L$5:$L$24,MATCH($C109,Fournisseurs!$A$5:$A$24,0))*$AD109/($I109*$M109),"")</f>
        <v/>
      </c>
      <c r="AG109" s="28" t="str">
        <f aca="false">IF($Y109=1,$AA109*$U109/$I109,"")</f>
        <v/>
      </c>
      <c r="AH109" s="28" t="str">
        <f aca="false">IF($Y109=1,$AB109*$U109/$I109,"")</f>
        <v/>
      </c>
      <c r="AI109" s="18" t="str">
        <f aca="false">IF($Y109=1,IF(AND(Paramètres!$B$4="EFFECTIVE",$W109="CH",$AB109&gt;0),1,0),"")</f>
        <v/>
      </c>
      <c r="AJ109" s="28" t="str">
        <f aca="false">IF($Y109=1,IF($X109&lt;&gt;"CH",($AG109+$AE109+$AF109)*Paramètres!$B$14,0),"")</f>
        <v/>
      </c>
      <c r="AK109" s="29" t="str">
        <f aca="false">IF($Y109=1,$AG109+IF($AI109=1,0,$AH109)+$AE109+$AF109+IF(Paramètres!$B$4="NOT_REGISTERED",$AJ109,0),"")</f>
        <v/>
      </c>
      <c r="AL109" s="27" t="str">
        <f aca="false">IF($Y109=1,($AK109+Paramètres!$B$7+Paramètres!$B$8+Paramètres!$B$9+Paramètres!$B$10)/((1-Paramètres!$B$11)/(1+Paramètres!$B$5)-Paramètres!$B$6),"")</f>
        <v/>
      </c>
      <c r="AM109" s="26" t="str">
        <f aca="false">IF(AND($Y109=1,ISNUMBER($R109)),IF($R109&gt;0,$AL109/$R109-1,""),"")</f>
        <v/>
      </c>
      <c r="AN109" s="27" t="str">
        <f aca="false">IF(AND($Y109=1,ISNUMBER($R109)),IF($R109&gt;0,$R109/(1+Paramètres!$B$5)-$AK109-($R109*Paramètres!$B$6+Paramètres!$B$7)-Paramètres!$B$8-Paramètres!$B$9-Paramètres!$B$10,""),"")</f>
        <v/>
      </c>
      <c r="AO109" s="26" t="str">
        <f aca="false">IF(ISNUMBER($AN109),$AN109/($R109/(1+Paramètres!$B$5)),"")</f>
        <v/>
      </c>
      <c r="AP109" s="30" t="str">
        <f aca="false">IF($A109="","",IF($Y109&lt;&gt;1,"INCOMPLET",IF(NOT(ISNUMBER($AM109)),"SANS RÉF. MARCHÉ",IF($AM109&lt;=Paramètres!$B$12,"OK",IF(AND($AO109&gt;=Paramètres!$B$15,$AN109&gt;=Paramètres!$B$16),"À REVOIR","NON RENTABLE")))))</f>
        <v/>
      </c>
      <c r="AQ109" s="18" t="str">
        <f aca="false">TRIM(IF(AND($Y109=1,ISNUMBER($N109)),IF($M109&lt;$N109,"MOQ ",""),"")&amp;IF(AND($Y109=1,ISNUMBER($O109)),IF($O109&lt;$I109*$M109,"DISPO ",""),"")&amp;IF($S109="O","FICTIF ","")&amp;IF($Y109=1,IF(AND($K109="TTC",$W109&lt;&gt;"CH"),"TVA-ÉTRANGÈRE ",""),""))</f>
        <v/>
      </c>
      <c r="AR109" s="18" t="str">
        <f aca="false">IF($Y109=1,COUNTIFS($A$6:$A$205,$A109,$AK$6:$AK$205,"&lt;"&amp;$AK109,$Y$6:$Y$205,1)+1,"")</f>
        <v/>
      </c>
      <c r="AS109" s="18" t="str">
        <f aca="false">IF(ISNUMBER($AR109),$A109&amp;"|"&amp;$AR109,"")</f>
        <v/>
      </c>
      <c r="AT109" s="27" t="str">
        <f aca="false">IF($Y109=1,$AK109*$I109*$M109,"")</f>
        <v/>
      </c>
    </row>
    <row r="110" customFormat="false" ht="15" hidden="false" customHeight="false" outlineLevel="0" collapsed="false">
      <c r="A110" s="9"/>
      <c r="B110" s="9"/>
      <c r="C110" s="9"/>
      <c r="D110" s="9"/>
      <c r="E110" s="9"/>
      <c r="F110" s="9"/>
      <c r="G110" s="9"/>
      <c r="H110" s="9"/>
      <c r="I110" s="9"/>
      <c r="J110" s="13"/>
      <c r="K110" s="9"/>
      <c r="L110" s="12"/>
      <c r="M110" s="9"/>
      <c r="N110" s="9"/>
      <c r="O110" s="9"/>
      <c r="P110" s="9"/>
      <c r="Q110" s="16"/>
      <c r="R110" s="13"/>
      <c r="S110" s="9"/>
      <c r="T110" s="18" t="str">
        <f aca="false">IF($C110="","",IFERROR(INDEX(Fournisseurs!$C$5:$C$24,MATCH($C110,Fournisseurs!$A$5:$A$24,0)),""))</f>
        <v/>
      </c>
      <c r="U110" s="25" t="str">
        <f aca="false">IF($C110="","",IFERROR(INDEX(Fournisseurs!$D$5:$D$24,MATCH($C110,Fournisseurs!$A$5:$A$24,0)),""))</f>
        <v/>
      </c>
      <c r="V110" s="26" t="str">
        <f aca="false">IF($C110="","",IFERROR(INDEX(Fournisseurs!$G$5:$G$24,MATCH($C110,Fournisseurs!$A$5:$A$24,0)),""))</f>
        <v/>
      </c>
      <c r="W110" s="18" t="str">
        <f aca="false">IF($C110="","",IFERROR(INDEX(Fournisseurs!$H$5:$H$24,MATCH($C110,Fournisseurs!$A$5:$A$24,0)),""))</f>
        <v/>
      </c>
      <c r="X110" s="18" t="str">
        <f aca="false">IF($C110="","",IFERROR(INDEX(Fournisseurs!$B$5:$B$24,MATCH($C110,Fournisseurs!$A$5:$A$24,0)),""))</f>
        <v/>
      </c>
      <c r="Y110" s="18" t="str">
        <f aca="false">IF($A110="","",IF(AND($A110&lt;&gt;"",$C110&lt;&gt;"",ISNUMBER($I110),ISNUMBER($J110),ISNUMBER($M110)),IF(AND($I110&gt;=1,$J110&gt;0,OR($K110="HT",$K110="TTC"),$M110&gt;=1,IFERROR(INDEX(Fournisseurs!$T$5:$T$24,MATCH($C110,Fournisseurs!$A$5:$A$24,0)),0)=1),1,0),0))</f>
        <v/>
      </c>
      <c r="Z110" s="27" t="str">
        <f aca="false">IF($Y110=1,$J110*(1-N($L110)),"")</f>
        <v/>
      </c>
      <c r="AA110" s="28" t="str">
        <f aca="false">IF($Y110=1,IF($K110="TTC",$Z110/(1+$V110),$Z110),"")</f>
        <v/>
      </c>
      <c r="AB110" s="28" t="str">
        <f aca="false">IF($Y110=1,IF($K110="TTC",$Z110-$AA110,$AA110*$V110),"")</f>
        <v/>
      </c>
      <c r="AC110" s="27" t="str">
        <f aca="false">IF($Y110=1,$AA110*$U110*$M110,"")</f>
        <v/>
      </c>
      <c r="AD110" s="26" t="str">
        <f aca="false">IF($Y110=1,$AC110/SUMIFS($AC$6:$AC$205,$C$6:$C$205,$C110,$Y$6:$Y$205,1),"")</f>
        <v/>
      </c>
      <c r="AE110" s="28" t="str">
        <f aca="false">IF($Y110=1,(INDEX(Fournisseurs!$J$5:$J$24,MATCH($C110,Fournisseurs!$A$5:$A$24,0))+INDEX(Fournisseurs!$K$5:$K$24,MATCH($C110,Fournisseurs!$A$5:$A$24,0)))*$U110*$AD110/($I110*$M110),"")</f>
        <v/>
      </c>
      <c r="AF110" s="28" t="str">
        <f aca="false">IF($Y110=1,INDEX(Fournisseurs!$L$5:$L$24,MATCH($C110,Fournisseurs!$A$5:$A$24,0))*$AD110/($I110*$M110),"")</f>
        <v/>
      </c>
      <c r="AG110" s="28" t="str">
        <f aca="false">IF($Y110=1,$AA110*$U110/$I110,"")</f>
        <v/>
      </c>
      <c r="AH110" s="28" t="str">
        <f aca="false">IF($Y110=1,$AB110*$U110/$I110,"")</f>
        <v/>
      </c>
      <c r="AI110" s="18" t="str">
        <f aca="false">IF($Y110=1,IF(AND(Paramètres!$B$4="EFFECTIVE",$W110="CH",$AB110&gt;0),1,0),"")</f>
        <v/>
      </c>
      <c r="AJ110" s="28" t="str">
        <f aca="false">IF($Y110=1,IF($X110&lt;&gt;"CH",($AG110+$AE110+$AF110)*Paramètres!$B$14,0),"")</f>
        <v/>
      </c>
      <c r="AK110" s="29" t="str">
        <f aca="false">IF($Y110=1,$AG110+IF($AI110=1,0,$AH110)+$AE110+$AF110+IF(Paramètres!$B$4="NOT_REGISTERED",$AJ110,0),"")</f>
        <v/>
      </c>
      <c r="AL110" s="27" t="str">
        <f aca="false">IF($Y110=1,($AK110+Paramètres!$B$7+Paramètres!$B$8+Paramètres!$B$9+Paramètres!$B$10)/((1-Paramètres!$B$11)/(1+Paramètres!$B$5)-Paramètres!$B$6),"")</f>
        <v/>
      </c>
      <c r="AM110" s="26" t="str">
        <f aca="false">IF(AND($Y110=1,ISNUMBER($R110)),IF($R110&gt;0,$AL110/$R110-1,""),"")</f>
        <v/>
      </c>
      <c r="AN110" s="27" t="str">
        <f aca="false">IF(AND($Y110=1,ISNUMBER($R110)),IF($R110&gt;0,$R110/(1+Paramètres!$B$5)-$AK110-($R110*Paramètres!$B$6+Paramètres!$B$7)-Paramètres!$B$8-Paramètres!$B$9-Paramètres!$B$10,""),"")</f>
        <v/>
      </c>
      <c r="AO110" s="26" t="str">
        <f aca="false">IF(ISNUMBER($AN110),$AN110/($R110/(1+Paramètres!$B$5)),"")</f>
        <v/>
      </c>
      <c r="AP110" s="30" t="str">
        <f aca="false">IF($A110="","",IF($Y110&lt;&gt;1,"INCOMPLET",IF(NOT(ISNUMBER($AM110)),"SANS RÉF. MARCHÉ",IF($AM110&lt;=Paramètres!$B$12,"OK",IF(AND($AO110&gt;=Paramètres!$B$15,$AN110&gt;=Paramètres!$B$16),"À REVOIR","NON RENTABLE")))))</f>
        <v/>
      </c>
      <c r="AQ110" s="18" t="str">
        <f aca="false">TRIM(IF(AND($Y110=1,ISNUMBER($N110)),IF($M110&lt;$N110,"MOQ ",""),"")&amp;IF(AND($Y110=1,ISNUMBER($O110)),IF($O110&lt;$I110*$M110,"DISPO ",""),"")&amp;IF($S110="O","FICTIF ","")&amp;IF($Y110=1,IF(AND($K110="TTC",$W110&lt;&gt;"CH"),"TVA-ÉTRANGÈRE ",""),""))</f>
        <v/>
      </c>
      <c r="AR110" s="18" t="str">
        <f aca="false">IF($Y110=1,COUNTIFS($A$6:$A$205,$A110,$AK$6:$AK$205,"&lt;"&amp;$AK110,$Y$6:$Y$205,1)+1,"")</f>
        <v/>
      </c>
      <c r="AS110" s="18" t="str">
        <f aca="false">IF(ISNUMBER($AR110),$A110&amp;"|"&amp;$AR110,"")</f>
        <v/>
      </c>
      <c r="AT110" s="27" t="str">
        <f aca="false">IF($Y110=1,$AK110*$I110*$M110,"")</f>
        <v/>
      </c>
    </row>
    <row r="111" customFormat="false" ht="15" hidden="false" customHeight="false" outlineLevel="0" collapsed="false">
      <c r="A111" s="9"/>
      <c r="B111" s="9"/>
      <c r="C111" s="9"/>
      <c r="D111" s="9"/>
      <c r="E111" s="9"/>
      <c r="F111" s="9"/>
      <c r="G111" s="9"/>
      <c r="H111" s="9"/>
      <c r="I111" s="9"/>
      <c r="J111" s="13"/>
      <c r="K111" s="9"/>
      <c r="L111" s="12"/>
      <c r="M111" s="9"/>
      <c r="N111" s="9"/>
      <c r="O111" s="9"/>
      <c r="P111" s="9"/>
      <c r="Q111" s="16"/>
      <c r="R111" s="13"/>
      <c r="S111" s="9"/>
      <c r="T111" s="18" t="str">
        <f aca="false">IF($C111="","",IFERROR(INDEX(Fournisseurs!$C$5:$C$24,MATCH($C111,Fournisseurs!$A$5:$A$24,0)),""))</f>
        <v/>
      </c>
      <c r="U111" s="25" t="str">
        <f aca="false">IF($C111="","",IFERROR(INDEX(Fournisseurs!$D$5:$D$24,MATCH($C111,Fournisseurs!$A$5:$A$24,0)),""))</f>
        <v/>
      </c>
      <c r="V111" s="26" t="str">
        <f aca="false">IF($C111="","",IFERROR(INDEX(Fournisseurs!$G$5:$G$24,MATCH($C111,Fournisseurs!$A$5:$A$24,0)),""))</f>
        <v/>
      </c>
      <c r="W111" s="18" t="str">
        <f aca="false">IF($C111="","",IFERROR(INDEX(Fournisseurs!$H$5:$H$24,MATCH($C111,Fournisseurs!$A$5:$A$24,0)),""))</f>
        <v/>
      </c>
      <c r="X111" s="18" t="str">
        <f aca="false">IF($C111="","",IFERROR(INDEX(Fournisseurs!$B$5:$B$24,MATCH($C111,Fournisseurs!$A$5:$A$24,0)),""))</f>
        <v/>
      </c>
      <c r="Y111" s="18" t="str">
        <f aca="false">IF($A111="","",IF(AND($A111&lt;&gt;"",$C111&lt;&gt;"",ISNUMBER($I111),ISNUMBER($J111),ISNUMBER($M111)),IF(AND($I111&gt;=1,$J111&gt;0,OR($K111="HT",$K111="TTC"),$M111&gt;=1,IFERROR(INDEX(Fournisseurs!$T$5:$T$24,MATCH($C111,Fournisseurs!$A$5:$A$24,0)),0)=1),1,0),0))</f>
        <v/>
      </c>
      <c r="Z111" s="27" t="str">
        <f aca="false">IF($Y111=1,$J111*(1-N($L111)),"")</f>
        <v/>
      </c>
      <c r="AA111" s="28" t="str">
        <f aca="false">IF($Y111=1,IF($K111="TTC",$Z111/(1+$V111),$Z111),"")</f>
        <v/>
      </c>
      <c r="AB111" s="28" t="str">
        <f aca="false">IF($Y111=1,IF($K111="TTC",$Z111-$AA111,$AA111*$V111),"")</f>
        <v/>
      </c>
      <c r="AC111" s="27" t="str">
        <f aca="false">IF($Y111=1,$AA111*$U111*$M111,"")</f>
        <v/>
      </c>
      <c r="AD111" s="26" t="str">
        <f aca="false">IF($Y111=1,$AC111/SUMIFS($AC$6:$AC$205,$C$6:$C$205,$C111,$Y$6:$Y$205,1),"")</f>
        <v/>
      </c>
      <c r="AE111" s="28" t="str">
        <f aca="false">IF($Y111=1,(INDEX(Fournisseurs!$J$5:$J$24,MATCH($C111,Fournisseurs!$A$5:$A$24,0))+INDEX(Fournisseurs!$K$5:$K$24,MATCH($C111,Fournisseurs!$A$5:$A$24,0)))*$U111*$AD111/($I111*$M111),"")</f>
        <v/>
      </c>
      <c r="AF111" s="28" t="str">
        <f aca="false">IF($Y111=1,INDEX(Fournisseurs!$L$5:$L$24,MATCH($C111,Fournisseurs!$A$5:$A$24,0))*$AD111/($I111*$M111),"")</f>
        <v/>
      </c>
      <c r="AG111" s="28" t="str">
        <f aca="false">IF($Y111=1,$AA111*$U111/$I111,"")</f>
        <v/>
      </c>
      <c r="AH111" s="28" t="str">
        <f aca="false">IF($Y111=1,$AB111*$U111/$I111,"")</f>
        <v/>
      </c>
      <c r="AI111" s="18" t="str">
        <f aca="false">IF($Y111=1,IF(AND(Paramètres!$B$4="EFFECTIVE",$W111="CH",$AB111&gt;0),1,0),"")</f>
        <v/>
      </c>
      <c r="AJ111" s="28" t="str">
        <f aca="false">IF($Y111=1,IF($X111&lt;&gt;"CH",($AG111+$AE111+$AF111)*Paramètres!$B$14,0),"")</f>
        <v/>
      </c>
      <c r="AK111" s="29" t="str">
        <f aca="false">IF($Y111=1,$AG111+IF($AI111=1,0,$AH111)+$AE111+$AF111+IF(Paramètres!$B$4="NOT_REGISTERED",$AJ111,0),"")</f>
        <v/>
      </c>
      <c r="AL111" s="27" t="str">
        <f aca="false">IF($Y111=1,($AK111+Paramètres!$B$7+Paramètres!$B$8+Paramètres!$B$9+Paramètres!$B$10)/((1-Paramètres!$B$11)/(1+Paramètres!$B$5)-Paramètres!$B$6),"")</f>
        <v/>
      </c>
      <c r="AM111" s="26" t="str">
        <f aca="false">IF(AND($Y111=1,ISNUMBER($R111)),IF($R111&gt;0,$AL111/$R111-1,""),"")</f>
        <v/>
      </c>
      <c r="AN111" s="27" t="str">
        <f aca="false">IF(AND($Y111=1,ISNUMBER($R111)),IF($R111&gt;0,$R111/(1+Paramètres!$B$5)-$AK111-($R111*Paramètres!$B$6+Paramètres!$B$7)-Paramètres!$B$8-Paramètres!$B$9-Paramètres!$B$10,""),"")</f>
        <v/>
      </c>
      <c r="AO111" s="26" t="str">
        <f aca="false">IF(ISNUMBER($AN111),$AN111/($R111/(1+Paramètres!$B$5)),"")</f>
        <v/>
      </c>
      <c r="AP111" s="30" t="str">
        <f aca="false">IF($A111="","",IF($Y111&lt;&gt;1,"INCOMPLET",IF(NOT(ISNUMBER($AM111)),"SANS RÉF. MARCHÉ",IF($AM111&lt;=Paramètres!$B$12,"OK",IF(AND($AO111&gt;=Paramètres!$B$15,$AN111&gt;=Paramètres!$B$16),"À REVOIR","NON RENTABLE")))))</f>
        <v/>
      </c>
      <c r="AQ111" s="18" t="str">
        <f aca="false">TRIM(IF(AND($Y111=1,ISNUMBER($N111)),IF($M111&lt;$N111,"MOQ ",""),"")&amp;IF(AND($Y111=1,ISNUMBER($O111)),IF($O111&lt;$I111*$M111,"DISPO ",""),"")&amp;IF($S111="O","FICTIF ","")&amp;IF($Y111=1,IF(AND($K111="TTC",$W111&lt;&gt;"CH"),"TVA-ÉTRANGÈRE ",""),""))</f>
        <v/>
      </c>
      <c r="AR111" s="18" t="str">
        <f aca="false">IF($Y111=1,COUNTIFS($A$6:$A$205,$A111,$AK$6:$AK$205,"&lt;"&amp;$AK111,$Y$6:$Y$205,1)+1,"")</f>
        <v/>
      </c>
      <c r="AS111" s="18" t="str">
        <f aca="false">IF(ISNUMBER($AR111),$A111&amp;"|"&amp;$AR111,"")</f>
        <v/>
      </c>
      <c r="AT111" s="27" t="str">
        <f aca="false">IF($Y111=1,$AK111*$I111*$M111,"")</f>
        <v/>
      </c>
    </row>
    <row r="112" customFormat="false" ht="15" hidden="false" customHeight="false" outlineLevel="0" collapsed="false">
      <c r="A112" s="9"/>
      <c r="B112" s="9"/>
      <c r="C112" s="9"/>
      <c r="D112" s="9"/>
      <c r="E112" s="9"/>
      <c r="F112" s="9"/>
      <c r="G112" s="9"/>
      <c r="H112" s="9"/>
      <c r="I112" s="9"/>
      <c r="J112" s="13"/>
      <c r="K112" s="9"/>
      <c r="L112" s="12"/>
      <c r="M112" s="9"/>
      <c r="N112" s="9"/>
      <c r="O112" s="9"/>
      <c r="P112" s="9"/>
      <c r="Q112" s="16"/>
      <c r="R112" s="13"/>
      <c r="S112" s="9"/>
      <c r="T112" s="18" t="str">
        <f aca="false">IF($C112="","",IFERROR(INDEX(Fournisseurs!$C$5:$C$24,MATCH($C112,Fournisseurs!$A$5:$A$24,0)),""))</f>
        <v/>
      </c>
      <c r="U112" s="25" t="str">
        <f aca="false">IF($C112="","",IFERROR(INDEX(Fournisseurs!$D$5:$D$24,MATCH($C112,Fournisseurs!$A$5:$A$24,0)),""))</f>
        <v/>
      </c>
      <c r="V112" s="26" t="str">
        <f aca="false">IF($C112="","",IFERROR(INDEX(Fournisseurs!$G$5:$G$24,MATCH($C112,Fournisseurs!$A$5:$A$24,0)),""))</f>
        <v/>
      </c>
      <c r="W112" s="18" t="str">
        <f aca="false">IF($C112="","",IFERROR(INDEX(Fournisseurs!$H$5:$H$24,MATCH($C112,Fournisseurs!$A$5:$A$24,0)),""))</f>
        <v/>
      </c>
      <c r="X112" s="18" t="str">
        <f aca="false">IF($C112="","",IFERROR(INDEX(Fournisseurs!$B$5:$B$24,MATCH($C112,Fournisseurs!$A$5:$A$24,0)),""))</f>
        <v/>
      </c>
      <c r="Y112" s="18" t="str">
        <f aca="false">IF($A112="","",IF(AND($A112&lt;&gt;"",$C112&lt;&gt;"",ISNUMBER($I112),ISNUMBER($J112),ISNUMBER($M112)),IF(AND($I112&gt;=1,$J112&gt;0,OR($K112="HT",$K112="TTC"),$M112&gt;=1,IFERROR(INDEX(Fournisseurs!$T$5:$T$24,MATCH($C112,Fournisseurs!$A$5:$A$24,0)),0)=1),1,0),0))</f>
        <v/>
      </c>
      <c r="Z112" s="27" t="str">
        <f aca="false">IF($Y112=1,$J112*(1-N($L112)),"")</f>
        <v/>
      </c>
      <c r="AA112" s="28" t="str">
        <f aca="false">IF($Y112=1,IF($K112="TTC",$Z112/(1+$V112),$Z112),"")</f>
        <v/>
      </c>
      <c r="AB112" s="28" t="str">
        <f aca="false">IF($Y112=1,IF($K112="TTC",$Z112-$AA112,$AA112*$V112),"")</f>
        <v/>
      </c>
      <c r="AC112" s="27" t="str">
        <f aca="false">IF($Y112=1,$AA112*$U112*$M112,"")</f>
        <v/>
      </c>
      <c r="AD112" s="26" t="str">
        <f aca="false">IF($Y112=1,$AC112/SUMIFS($AC$6:$AC$205,$C$6:$C$205,$C112,$Y$6:$Y$205,1),"")</f>
        <v/>
      </c>
      <c r="AE112" s="28" t="str">
        <f aca="false">IF($Y112=1,(INDEX(Fournisseurs!$J$5:$J$24,MATCH($C112,Fournisseurs!$A$5:$A$24,0))+INDEX(Fournisseurs!$K$5:$K$24,MATCH($C112,Fournisseurs!$A$5:$A$24,0)))*$U112*$AD112/($I112*$M112),"")</f>
        <v/>
      </c>
      <c r="AF112" s="28" t="str">
        <f aca="false">IF($Y112=1,INDEX(Fournisseurs!$L$5:$L$24,MATCH($C112,Fournisseurs!$A$5:$A$24,0))*$AD112/($I112*$M112),"")</f>
        <v/>
      </c>
      <c r="AG112" s="28" t="str">
        <f aca="false">IF($Y112=1,$AA112*$U112/$I112,"")</f>
        <v/>
      </c>
      <c r="AH112" s="28" t="str">
        <f aca="false">IF($Y112=1,$AB112*$U112/$I112,"")</f>
        <v/>
      </c>
      <c r="AI112" s="18" t="str">
        <f aca="false">IF($Y112=1,IF(AND(Paramètres!$B$4="EFFECTIVE",$W112="CH",$AB112&gt;0),1,0),"")</f>
        <v/>
      </c>
      <c r="AJ112" s="28" t="str">
        <f aca="false">IF($Y112=1,IF($X112&lt;&gt;"CH",($AG112+$AE112+$AF112)*Paramètres!$B$14,0),"")</f>
        <v/>
      </c>
      <c r="AK112" s="29" t="str">
        <f aca="false">IF($Y112=1,$AG112+IF($AI112=1,0,$AH112)+$AE112+$AF112+IF(Paramètres!$B$4="NOT_REGISTERED",$AJ112,0),"")</f>
        <v/>
      </c>
      <c r="AL112" s="27" t="str">
        <f aca="false">IF($Y112=1,($AK112+Paramètres!$B$7+Paramètres!$B$8+Paramètres!$B$9+Paramètres!$B$10)/((1-Paramètres!$B$11)/(1+Paramètres!$B$5)-Paramètres!$B$6),"")</f>
        <v/>
      </c>
      <c r="AM112" s="26" t="str">
        <f aca="false">IF(AND($Y112=1,ISNUMBER($R112)),IF($R112&gt;0,$AL112/$R112-1,""),"")</f>
        <v/>
      </c>
      <c r="AN112" s="27" t="str">
        <f aca="false">IF(AND($Y112=1,ISNUMBER($R112)),IF($R112&gt;0,$R112/(1+Paramètres!$B$5)-$AK112-($R112*Paramètres!$B$6+Paramètres!$B$7)-Paramètres!$B$8-Paramètres!$B$9-Paramètres!$B$10,""),"")</f>
        <v/>
      </c>
      <c r="AO112" s="26" t="str">
        <f aca="false">IF(ISNUMBER($AN112),$AN112/($R112/(1+Paramètres!$B$5)),"")</f>
        <v/>
      </c>
      <c r="AP112" s="30" t="str">
        <f aca="false">IF($A112="","",IF($Y112&lt;&gt;1,"INCOMPLET",IF(NOT(ISNUMBER($AM112)),"SANS RÉF. MARCHÉ",IF($AM112&lt;=Paramètres!$B$12,"OK",IF(AND($AO112&gt;=Paramètres!$B$15,$AN112&gt;=Paramètres!$B$16),"À REVOIR","NON RENTABLE")))))</f>
        <v/>
      </c>
      <c r="AQ112" s="18" t="str">
        <f aca="false">TRIM(IF(AND($Y112=1,ISNUMBER($N112)),IF($M112&lt;$N112,"MOQ ",""),"")&amp;IF(AND($Y112=1,ISNUMBER($O112)),IF($O112&lt;$I112*$M112,"DISPO ",""),"")&amp;IF($S112="O","FICTIF ","")&amp;IF($Y112=1,IF(AND($K112="TTC",$W112&lt;&gt;"CH"),"TVA-ÉTRANGÈRE ",""),""))</f>
        <v/>
      </c>
      <c r="AR112" s="18" t="str">
        <f aca="false">IF($Y112=1,COUNTIFS($A$6:$A$205,$A112,$AK$6:$AK$205,"&lt;"&amp;$AK112,$Y$6:$Y$205,1)+1,"")</f>
        <v/>
      </c>
      <c r="AS112" s="18" t="str">
        <f aca="false">IF(ISNUMBER($AR112),$A112&amp;"|"&amp;$AR112,"")</f>
        <v/>
      </c>
      <c r="AT112" s="27" t="str">
        <f aca="false">IF($Y112=1,$AK112*$I112*$M112,"")</f>
        <v/>
      </c>
    </row>
    <row r="113" customFormat="false" ht="15" hidden="false" customHeight="false" outlineLevel="0" collapsed="false">
      <c r="A113" s="9"/>
      <c r="B113" s="9"/>
      <c r="C113" s="9"/>
      <c r="D113" s="9"/>
      <c r="E113" s="9"/>
      <c r="F113" s="9"/>
      <c r="G113" s="9"/>
      <c r="H113" s="9"/>
      <c r="I113" s="9"/>
      <c r="J113" s="13"/>
      <c r="K113" s="9"/>
      <c r="L113" s="12"/>
      <c r="M113" s="9"/>
      <c r="N113" s="9"/>
      <c r="O113" s="9"/>
      <c r="P113" s="9"/>
      <c r="Q113" s="16"/>
      <c r="R113" s="13"/>
      <c r="S113" s="9"/>
      <c r="T113" s="18" t="str">
        <f aca="false">IF($C113="","",IFERROR(INDEX(Fournisseurs!$C$5:$C$24,MATCH($C113,Fournisseurs!$A$5:$A$24,0)),""))</f>
        <v/>
      </c>
      <c r="U113" s="25" t="str">
        <f aca="false">IF($C113="","",IFERROR(INDEX(Fournisseurs!$D$5:$D$24,MATCH($C113,Fournisseurs!$A$5:$A$24,0)),""))</f>
        <v/>
      </c>
      <c r="V113" s="26" t="str">
        <f aca="false">IF($C113="","",IFERROR(INDEX(Fournisseurs!$G$5:$G$24,MATCH($C113,Fournisseurs!$A$5:$A$24,0)),""))</f>
        <v/>
      </c>
      <c r="W113" s="18" t="str">
        <f aca="false">IF($C113="","",IFERROR(INDEX(Fournisseurs!$H$5:$H$24,MATCH($C113,Fournisseurs!$A$5:$A$24,0)),""))</f>
        <v/>
      </c>
      <c r="X113" s="18" t="str">
        <f aca="false">IF($C113="","",IFERROR(INDEX(Fournisseurs!$B$5:$B$24,MATCH($C113,Fournisseurs!$A$5:$A$24,0)),""))</f>
        <v/>
      </c>
      <c r="Y113" s="18" t="str">
        <f aca="false">IF($A113="","",IF(AND($A113&lt;&gt;"",$C113&lt;&gt;"",ISNUMBER($I113),ISNUMBER($J113),ISNUMBER($M113)),IF(AND($I113&gt;=1,$J113&gt;0,OR($K113="HT",$K113="TTC"),$M113&gt;=1,IFERROR(INDEX(Fournisseurs!$T$5:$T$24,MATCH($C113,Fournisseurs!$A$5:$A$24,0)),0)=1),1,0),0))</f>
        <v/>
      </c>
      <c r="Z113" s="27" t="str">
        <f aca="false">IF($Y113=1,$J113*(1-N($L113)),"")</f>
        <v/>
      </c>
      <c r="AA113" s="28" t="str">
        <f aca="false">IF($Y113=1,IF($K113="TTC",$Z113/(1+$V113),$Z113),"")</f>
        <v/>
      </c>
      <c r="AB113" s="28" t="str">
        <f aca="false">IF($Y113=1,IF($K113="TTC",$Z113-$AA113,$AA113*$V113),"")</f>
        <v/>
      </c>
      <c r="AC113" s="27" t="str">
        <f aca="false">IF($Y113=1,$AA113*$U113*$M113,"")</f>
        <v/>
      </c>
      <c r="AD113" s="26" t="str">
        <f aca="false">IF($Y113=1,$AC113/SUMIFS($AC$6:$AC$205,$C$6:$C$205,$C113,$Y$6:$Y$205,1),"")</f>
        <v/>
      </c>
      <c r="AE113" s="28" t="str">
        <f aca="false">IF($Y113=1,(INDEX(Fournisseurs!$J$5:$J$24,MATCH($C113,Fournisseurs!$A$5:$A$24,0))+INDEX(Fournisseurs!$K$5:$K$24,MATCH($C113,Fournisseurs!$A$5:$A$24,0)))*$U113*$AD113/($I113*$M113),"")</f>
        <v/>
      </c>
      <c r="AF113" s="28" t="str">
        <f aca="false">IF($Y113=1,INDEX(Fournisseurs!$L$5:$L$24,MATCH($C113,Fournisseurs!$A$5:$A$24,0))*$AD113/($I113*$M113),"")</f>
        <v/>
      </c>
      <c r="AG113" s="28" t="str">
        <f aca="false">IF($Y113=1,$AA113*$U113/$I113,"")</f>
        <v/>
      </c>
      <c r="AH113" s="28" t="str">
        <f aca="false">IF($Y113=1,$AB113*$U113/$I113,"")</f>
        <v/>
      </c>
      <c r="AI113" s="18" t="str">
        <f aca="false">IF($Y113=1,IF(AND(Paramètres!$B$4="EFFECTIVE",$W113="CH",$AB113&gt;0),1,0),"")</f>
        <v/>
      </c>
      <c r="AJ113" s="28" t="str">
        <f aca="false">IF($Y113=1,IF($X113&lt;&gt;"CH",($AG113+$AE113+$AF113)*Paramètres!$B$14,0),"")</f>
        <v/>
      </c>
      <c r="AK113" s="29" t="str">
        <f aca="false">IF($Y113=1,$AG113+IF($AI113=1,0,$AH113)+$AE113+$AF113+IF(Paramètres!$B$4="NOT_REGISTERED",$AJ113,0),"")</f>
        <v/>
      </c>
      <c r="AL113" s="27" t="str">
        <f aca="false">IF($Y113=1,($AK113+Paramètres!$B$7+Paramètres!$B$8+Paramètres!$B$9+Paramètres!$B$10)/((1-Paramètres!$B$11)/(1+Paramètres!$B$5)-Paramètres!$B$6),"")</f>
        <v/>
      </c>
      <c r="AM113" s="26" t="str">
        <f aca="false">IF(AND($Y113=1,ISNUMBER($R113)),IF($R113&gt;0,$AL113/$R113-1,""),"")</f>
        <v/>
      </c>
      <c r="AN113" s="27" t="str">
        <f aca="false">IF(AND($Y113=1,ISNUMBER($R113)),IF($R113&gt;0,$R113/(1+Paramètres!$B$5)-$AK113-($R113*Paramètres!$B$6+Paramètres!$B$7)-Paramètres!$B$8-Paramètres!$B$9-Paramètres!$B$10,""),"")</f>
        <v/>
      </c>
      <c r="AO113" s="26" t="str">
        <f aca="false">IF(ISNUMBER($AN113),$AN113/($R113/(1+Paramètres!$B$5)),"")</f>
        <v/>
      </c>
      <c r="AP113" s="30" t="str">
        <f aca="false">IF($A113="","",IF($Y113&lt;&gt;1,"INCOMPLET",IF(NOT(ISNUMBER($AM113)),"SANS RÉF. MARCHÉ",IF($AM113&lt;=Paramètres!$B$12,"OK",IF(AND($AO113&gt;=Paramètres!$B$15,$AN113&gt;=Paramètres!$B$16),"À REVOIR","NON RENTABLE")))))</f>
        <v/>
      </c>
      <c r="AQ113" s="18" t="str">
        <f aca="false">TRIM(IF(AND($Y113=1,ISNUMBER($N113)),IF($M113&lt;$N113,"MOQ ",""),"")&amp;IF(AND($Y113=1,ISNUMBER($O113)),IF($O113&lt;$I113*$M113,"DISPO ",""),"")&amp;IF($S113="O","FICTIF ","")&amp;IF($Y113=1,IF(AND($K113="TTC",$W113&lt;&gt;"CH"),"TVA-ÉTRANGÈRE ",""),""))</f>
        <v/>
      </c>
      <c r="AR113" s="18" t="str">
        <f aca="false">IF($Y113=1,COUNTIFS($A$6:$A$205,$A113,$AK$6:$AK$205,"&lt;"&amp;$AK113,$Y$6:$Y$205,1)+1,"")</f>
        <v/>
      </c>
      <c r="AS113" s="18" t="str">
        <f aca="false">IF(ISNUMBER($AR113),$A113&amp;"|"&amp;$AR113,"")</f>
        <v/>
      </c>
      <c r="AT113" s="27" t="str">
        <f aca="false">IF($Y113=1,$AK113*$I113*$M113,"")</f>
        <v/>
      </c>
    </row>
    <row r="114" customFormat="false" ht="15" hidden="false" customHeight="false" outlineLevel="0" collapsed="false">
      <c r="A114" s="9"/>
      <c r="B114" s="9"/>
      <c r="C114" s="9"/>
      <c r="D114" s="9"/>
      <c r="E114" s="9"/>
      <c r="F114" s="9"/>
      <c r="G114" s="9"/>
      <c r="H114" s="9"/>
      <c r="I114" s="9"/>
      <c r="J114" s="13"/>
      <c r="K114" s="9"/>
      <c r="L114" s="12"/>
      <c r="M114" s="9"/>
      <c r="N114" s="9"/>
      <c r="O114" s="9"/>
      <c r="P114" s="9"/>
      <c r="Q114" s="16"/>
      <c r="R114" s="13"/>
      <c r="S114" s="9"/>
      <c r="T114" s="18" t="str">
        <f aca="false">IF($C114="","",IFERROR(INDEX(Fournisseurs!$C$5:$C$24,MATCH($C114,Fournisseurs!$A$5:$A$24,0)),""))</f>
        <v/>
      </c>
      <c r="U114" s="25" t="str">
        <f aca="false">IF($C114="","",IFERROR(INDEX(Fournisseurs!$D$5:$D$24,MATCH($C114,Fournisseurs!$A$5:$A$24,0)),""))</f>
        <v/>
      </c>
      <c r="V114" s="26" t="str">
        <f aca="false">IF($C114="","",IFERROR(INDEX(Fournisseurs!$G$5:$G$24,MATCH($C114,Fournisseurs!$A$5:$A$24,0)),""))</f>
        <v/>
      </c>
      <c r="W114" s="18" t="str">
        <f aca="false">IF($C114="","",IFERROR(INDEX(Fournisseurs!$H$5:$H$24,MATCH($C114,Fournisseurs!$A$5:$A$24,0)),""))</f>
        <v/>
      </c>
      <c r="X114" s="18" t="str">
        <f aca="false">IF($C114="","",IFERROR(INDEX(Fournisseurs!$B$5:$B$24,MATCH($C114,Fournisseurs!$A$5:$A$24,0)),""))</f>
        <v/>
      </c>
      <c r="Y114" s="18" t="str">
        <f aca="false">IF($A114="","",IF(AND($A114&lt;&gt;"",$C114&lt;&gt;"",ISNUMBER($I114),ISNUMBER($J114),ISNUMBER($M114)),IF(AND($I114&gt;=1,$J114&gt;0,OR($K114="HT",$K114="TTC"),$M114&gt;=1,IFERROR(INDEX(Fournisseurs!$T$5:$T$24,MATCH($C114,Fournisseurs!$A$5:$A$24,0)),0)=1),1,0),0))</f>
        <v/>
      </c>
      <c r="Z114" s="27" t="str">
        <f aca="false">IF($Y114=1,$J114*(1-N($L114)),"")</f>
        <v/>
      </c>
      <c r="AA114" s="28" t="str">
        <f aca="false">IF($Y114=1,IF($K114="TTC",$Z114/(1+$V114),$Z114),"")</f>
        <v/>
      </c>
      <c r="AB114" s="28" t="str">
        <f aca="false">IF($Y114=1,IF($K114="TTC",$Z114-$AA114,$AA114*$V114),"")</f>
        <v/>
      </c>
      <c r="AC114" s="27" t="str">
        <f aca="false">IF($Y114=1,$AA114*$U114*$M114,"")</f>
        <v/>
      </c>
      <c r="AD114" s="26" t="str">
        <f aca="false">IF($Y114=1,$AC114/SUMIFS($AC$6:$AC$205,$C$6:$C$205,$C114,$Y$6:$Y$205,1),"")</f>
        <v/>
      </c>
      <c r="AE114" s="28" t="str">
        <f aca="false">IF($Y114=1,(INDEX(Fournisseurs!$J$5:$J$24,MATCH($C114,Fournisseurs!$A$5:$A$24,0))+INDEX(Fournisseurs!$K$5:$K$24,MATCH($C114,Fournisseurs!$A$5:$A$24,0)))*$U114*$AD114/($I114*$M114),"")</f>
        <v/>
      </c>
      <c r="AF114" s="28" t="str">
        <f aca="false">IF($Y114=1,INDEX(Fournisseurs!$L$5:$L$24,MATCH($C114,Fournisseurs!$A$5:$A$24,0))*$AD114/($I114*$M114),"")</f>
        <v/>
      </c>
      <c r="AG114" s="28" t="str">
        <f aca="false">IF($Y114=1,$AA114*$U114/$I114,"")</f>
        <v/>
      </c>
      <c r="AH114" s="28" t="str">
        <f aca="false">IF($Y114=1,$AB114*$U114/$I114,"")</f>
        <v/>
      </c>
      <c r="AI114" s="18" t="str">
        <f aca="false">IF($Y114=1,IF(AND(Paramètres!$B$4="EFFECTIVE",$W114="CH",$AB114&gt;0),1,0),"")</f>
        <v/>
      </c>
      <c r="AJ114" s="28" t="str">
        <f aca="false">IF($Y114=1,IF($X114&lt;&gt;"CH",($AG114+$AE114+$AF114)*Paramètres!$B$14,0),"")</f>
        <v/>
      </c>
      <c r="AK114" s="29" t="str">
        <f aca="false">IF($Y114=1,$AG114+IF($AI114=1,0,$AH114)+$AE114+$AF114+IF(Paramètres!$B$4="NOT_REGISTERED",$AJ114,0),"")</f>
        <v/>
      </c>
      <c r="AL114" s="27" t="str">
        <f aca="false">IF($Y114=1,($AK114+Paramètres!$B$7+Paramètres!$B$8+Paramètres!$B$9+Paramètres!$B$10)/((1-Paramètres!$B$11)/(1+Paramètres!$B$5)-Paramètres!$B$6),"")</f>
        <v/>
      </c>
      <c r="AM114" s="26" t="str">
        <f aca="false">IF(AND($Y114=1,ISNUMBER($R114)),IF($R114&gt;0,$AL114/$R114-1,""),"")</f>
        <v/>
      </c>
      <c r="AN114" s="27" t="str">
        <f aca="false">IF(AND($Y114=1,ISNUMBER($R114)),IF($R114&gt;0,$R114/(1+Paramètres!$B$5)-$AK114-($R114*Paramètres!$B$6+Paramètres!$B$7)-Paramètres!$B$8-Paramètres!$B$9-Paramètres!$B$10,""),"")</f>
        <v/>
      </c>
      <c r="AO114" s="26" t="str">
        <f aca="false">IF(ISNUMBER($AN114),$AN114/($R114/(1+Paramètres!$B$5)),"")</f>
        <v/>
      </c>
      <c r="AP114" s="30" t="str">
        <f aca="false">IF($A114="","",IF($Y114&lt;&gt;1,"INCOMPLET",IF(NOT(ISNUMBER($AM114)),"SANS RÉF. MARCHÉ",IF($AM114&lt;=Paramètres!$B$12,"OK",IF(AND($AO114&gt;=Paramètres!$B$15,$AN114&gt;=Paramètres!$B$16),"À REVOIR","NON RENTABLE")))))</f>
        <v/>
      </c>
      <c r="AQ114" s="18" t="str">
        <f aca="false">TRIM(IF(AND($Y114=1,ISNUMBER($N114)),IF($M114&lt;$N114,"MOQ ",""),"")&amp;IF(AND($Y114=1,ISNUMBER($O114)),IF($O114&lt;$I114*$M114,"DISPO ",""),"")&amp;IF($S114="O","FICTIF ","")&amp;IF($Y114=1,IF(AND($K114="TTC",$W114&lt;&gt;"CH"),"TVA-ÉTRANGÈRE ",""),""))</f>
        <v/>
      </c>
      <c r="AR114" s="18" t="str">
        <f aca="false">IF($Y114=1,COUNTIFS($A$6:$A$205,$A114,$AK$6:$AK$205,"&lt;"&amp;$AK114,$Y$6:$Y$205,1)+1,"")</f>
        <v/>
      </c>
      <c r="AS114" s="18" t="str">
        <f aca="false">IF(ISNUMBER($AR114),$A114&amp;"|"&amp;$AR114,"")</f>
        <v/>
      </c>
      <c r="AT114" s="27" t="str">
        <f aca="false">IF($Y114=1,$AK114*$I114*$M114,"")</f>
        <v/>
      </c>
    </row>
    <row r="115" customFormat="false" ht="15" hidden="false" customHeight="false" outlineLevel="0" collapsed="false">
      <c r="A115" s="9"/>
      <c r="B115" s="9"/>
      <c r="C115" s="9"/>
      <c r="D115" s="9"/>
      <c r="E115" s="9"/>
      <c r="F115" s="9"/>
      <c r="G115" s="9"/>
      <c r="H115" s="9"/>
      <c r="I115" s="9"/>
      <c r="J115" s="13"/>
      <c r="K115" s="9"/>
      <c r="L115" s="12"/>
      <c r="M115" s="9"/>
      <c r="N115" s="9"/>
      <c r="O115" s="9"/>
      <c r="P115" s="9"/>
      <c r="Q115" s="16"/>
      <c r="R115" s="13"/>
      <c r="S115" s="9"/>
      <c r="T115" s="18" t="str">
        <f aca="false">IF($C115="","",IFERROR(INDEX(Fournisseurs!$C$5:$C$24,MATCH($C115,Fournisseurs!$A$5:$A$24,0)),""))</f>
        <v/>
      </c>
      <c r="U115" s="25" t="str">
        <f aca="false">IF($C115="","",IFERROR(INDEX(Fournisseurs!$D$5:$D$24,MATCH($C115,Fournisseurs!$A$5:$A$24,0)),""))</f>
        <v/>
      </c>
      <c r="V115" s="26" t="str">
        <f aca="false">IF($C115="","",IFERROR(INDEX(Fournisseurs!$G$5:$G$24,MATCH($C115,Fournisseurs!$A$5:$A$24,0)),""))</f>
        <v/>
      </c>
      <c r="W115" s="18" t="str">
        <f aca="false">IF($C115="","",IFERROR(INDEX(Fournisseurs!$H$5:$H$24,MATCH($C115,Fournisseurs!$A$5:$A$24,0)),""))</f>
        <v/>
      </c>
      <c r="X115" s="18" t="str">
        <f aca="false">IF($C115="","",IFERROR(INDEX(Fournisseurs!$B$5:$B$24,MATCH($C115,Fournisseurs!$A$5:$A$24,0)),""))</f>
        <v/>
      </c>
      <c r="Y115" s="18" t="str">
        <f aca="false">IF($A115="","",IF(AND($A115&lt;&gt;"",$C115&lt;&gt;"",ISNUMBER($I115),ISNUMBER($J115),ISNUMBER($M115)),IF(AND($I115&gt;=1,$J115&gt;0,OR($K115="HT",$K115="TTC"),$M115&gt;=1,IFERROR(INDEX(Fournisseurs!$T$5:$T$24,MATCH($C115,Fournisseurs!$A$5:$A$24,0)),0)=1),1,0),0))</f>
        <v/>
      </c>
      <c r="Z115" s="27" t="str">
        <f aca="false">IF($Y115=1,$J115*(1-N($L115)),"")</f>
        <v/>
      </c>
      <c r="AA115" s="28" t="str">
        <f aca="false">IF($Y115=1,IF($K115="TTC",$Z115/(1+$V115),$Z115),"")</f>
        <v/>
      </c>
      <c r="AB115" s="28" t="str">
        <f aca="false">IF($Y115=1,IF($K115="TTC",$Z115-$AA115,$AA115*$V115),"")</f>
        <v/>
      </c>
      <c r="AC115" s="27" t="str">
        <f aca="false">IF($Y115=1,$AA115*$U115*$M115,"")</f>
        <v/>
      </c>
      <c r="AD115" s="26" t="str">
        <f aca="false">IF($Y115=1,$AC115/SUMIFS($AC$6:$AC$205,$C$6:$C$205,$C115,$Y$6:$Y$205,1),"")</f>
        <v/>
      </c>
      <c r="AE115" s="28" t="str">
        <f aca="false">IF($Y115=1,(INDEX(Fournisseurs!$J$5:$J$24,MATCH($C115,Fournisseurs!$A$5:$A$24,0))+INDEX(Fournisseurs!$K$5:$K$24,MATCH($C115,Fournisseurs!$A$5:$A$24,0)))*$U115*$AD115/($I115*$M115),"")</f>
        <v/>
      </c>
      <c r="AF115" s="28" t="str">
        <f aca="false">IF($Y115=1,INDEX(Fournisseurs!$L$5:$L$24,MATCH($C115,Fournisseurs!$A$5:$A$24,0))*$AD115/($I115*$M115),"")</f>
        <v/>
      </c>
      <c r="AG115" s="28" t="str">
        <f aca="false">IF($Y115=1,$AA115*$U115/$I115,"")</f>
        <v/>
      </c>
      <c r="AH115" s="28" t="str">
        <f aca="false">IF($Y115=1,$AB115*$U115/$I115,"")</f>
        <v/>
      </c>
      <c r="AI115" s="18" t="str">
        <f aca="false">IF($Y115=1,IF(AND(Paramètres!$B$4="EFFECTIVE",$W115="CH",$AB115&gt;0),1,0),"")</f>
        <v/>
      </c>
      <c r="AJ115" s="28" t="str">
        <f aca="false">IF($Y115=1,IF($X115&lt;&gt;"CH",($AG115+$AE115+$AF115)*Paramètres!$B$14,0),"")</f>
        <v/>
      </c>
      <c r="AK115" s="29" t="str">
        <f aca="false">IF($Y115=1,$AG115+IF($AI115=1,0,$AH115)+$AE115+$AF115+IF(Paramètres!$B$4="NOT_REGISTERED",$AJ115,0),"")</f>
        <v/>
      </c>
      <c r="AL115" s="27" t="str">
        <f aca="false">IF($Y115=1,($AK115+Paramètres!$B$7+Paramètres!$B$8+Paramètres!$B$9+Paramètres!$B$10)/((1-Paramètres!$B$11)/(1+Paramètres!$B$5)-Paramètres!$B$6),"")</f>
        <v/>
      </c>
      <c r="AM115" s="26" t="str">
        <f aca="false">IF(AND($Y115=1,ISNUMBER($R115)),IF($R115&gt;0,$AL115/$R115-1,""),"")</f>
        <v/>
      </c>
      <c r="AN115" s="27" t="str">
        <f aca="false">IF(AND($Y115=1,ISNUMBER($R115)),IF($R115&gt;0,$R115/(1+Paramètres!$B$5)-$AK115-($R115*Paramètres!$B$6+Paramètres!$B$7)-Paramètres!$B$8-Paramètres!$B$9-Paramètres!$B$10,""),"")</f>
        <v/>
      </c>
      <c r="AO115" s="26" t="str">
        <f aca="false">IF(ISNUMBER($AN115),$AN115/($R115/(1+Paramètres!$B$5)),"")</f>
        <v/>
      </c>
      <c r="AP115" s="30" t="str">
        <f aca="false">IF($A115="","",IF($Y115&lt;&gt;1,"INCOMPLET",IF(NOT(ISNUMBER($AM115)),"SANS RÉF. MARCHÉ",IF($AM115&lt;=Paramètres!$B$12,"OK",IF(AND($AO115&gt;=Paramètres!$B$15,$AN115&gt;=Paramètres!$B$16),"À REVOIR","NON RENTABLE")))))</f>
        <v/>
      </c>
      <c r="AQ115" s="18" t="str">
        <f aca="false">TRIM(IF(AND($Y115=1,ISNUMBER($N115)),IF($M115&lt;$N115,"MOQ ",""),"")&amp;IF(AND($Y115=1,ISNUMBER($O115)),IF($O115&lt;$I115*$M115,"DISPO ",""),"")&amp;IF($S115="O","FICTIF ","")&amp;IF($Y115=1,IF(AND($K115="TTC",$W115&lt;&gt;"CH"),"TVA-ÉTRANGÈRE ",""),""))</f>
        <v/>
      </c>
      <c r="AR115" s="18" t="str">
        <f aca="false">IF($Y115=1,COUNTIFS($A$6:$A$205,$A115,$AK$6:$AK$205,"&lt;"&amp;$AK115,$Y$6:$Y$205,1)+1,"")</f>
        <v/>
      </c>
      <c r="AS115" s="18" t="str">
        <f aca="false">IF(ISNUMBER($AR115),$A115&amp;"|"&amp;$AR115,"")</f>
        <v/>
      </c>
      <c r="AT115" s="27" t="str">
        <f aca="false">IF($Y115=1,$AK115*$I115*$M115,"")</f>
        <v/>
      </c>
    </row>
    <row r="116" customFormat="false" ht="15" hidden="false" customHeight="false" outlineLevel="0" collapsed="false">
      <c r="A116" s="9"/>
      <c r="B116" s="9"/>
      <c r="C116" s="9"/>
      <c r="D116" s="9"/>
      <c r="E116" s="9"/>
      <c r="F116" s="9"/>
      <c r="G116" s="9"/>
      <c r="H116" s="9"/>
      <c r="I116" s="9"/>
      <c r="J116" s="13"/>
      <c r="K116" s="9"/>
      <c r="L116" s="12"/>
      <c r="M116" s="9"/>
      <c r="N116" s="9"/>
      <c r="O116" s="9"/>
      <c r="P116" s="9"/>
      <c r="Q116" s="16"/>
      <c r="R116" s="13"/>
      <c r="S116" s="9"/>
      <c r="T116" s="18" t="str">
        <f aca="false">IF($C116="","",IFERROR(INDEX(Fournisseurs!$C$5:$C$24,MATCH($C116,Fournisseurs!$A$5:$A$24,0)),""))</f>
        <v/>
      </c>
      <c r="U116" s="25" t="str">
        <f aca="false">IF($C116="","",IFERROR(INDEX(Fournisseurs!$D$5:$D$24,MATCH($C116,Fournisseurs!$A$5:$A$24,0)),""))</f>
        <v/>
      </c>
      <c r="V116" s="26" t="str">
        <f aca="false">IF($C116="","",IFERROR(INDEX(Fournisseurs!$G$5:$G$24,MATCH($C116,Fournisseurs!$A$5:$A$24,0)),""))</f>
        <v/>
      </c>
      <c r="W116" s="18" t="str">
        <f aca="false">IF($C116="","",IFERROR(INDEX(Fournisseurs!$H$5:$H$24,MATCH($C116,Fournisseurs!$A$5:$A$24,0)),""))</f>
        <v/>
      </c>
      <c r="X116" s="18" t="str">
        <f aca="false">IF($C116="","",IFERROR(INDEX(Fournisseurs!$B$5:$B$24,MATCH($C116,Fournisseurs!$A$5:$A$24,0)),""))</f>
        <v/>
      </c>
      <c r="Y116" s="18" t="str">
        <f aca="false">IF($A116="","",IF(AND($A116&lt;&gt;"",$C116&lt;&gt;"",ISNUMBER($I116),ISNUMBER($J116),ISNUMBER($M116)),IF(AND($I116&gt;=1,$J116&gt;0,OR($K116="HT",$K116="TTC"),$M116&gt;=1,IFERROR(INDEX(Fournisseurs!$T$5:$T$24,MATCH($C116,Fournisseurs!$A$5:$A$24,0)),0)=1),1,0),0))</f>
        <v/>
      </c>
      <c r="Z116" s="27" t="str">
        <f aca="false">IF($Y116=1,$J116*(1-N($L116)),"")</f>
        <v/>
      </c>
      <c r="AA116" s="28" t="str">
        <f aca="false">IF($Y116=1,IF($K116="TTC",$Z116/(1+$V116),$Z116),"")</f>
        <v/>
      </c>
      <c r="AB116" s="28" t="str">
        <f aca="false">IF($Y116=1,IF($K116="TTC",$Z116-$AA116,$AA116*$V116),"")</f>
        <v/>
      </c>
      <c r="AC116" s="27" t="str">
        <f aca="false">IF($Y116=1,$AA116*$U116*$M116,"")</f>
        <v/>
      </c>
      <c r="AD116" s="26" t="str">
        <f aca="false">IF($Y116=1,$AC116/SUMIFS($AC$6:$AC$205,$C$6:$C$205,$C116,$Y$6:$Y$205,1),"")</f>
        <v/>
      </c>
      <c r="AE116" s="28" t="str">
        <f aca="false">IF($Y116=1,(INDEX(Fournisseurs!$J$5:$J$24,MATCH($C116,Fournisseurs!$A$5:$A$24,0))+INDEX(Fournisseurs!$K$5:$K$24,MATCH($C116,Fournisseurs!$A$5:$A$24,0)))*$U116*$AD116/($I116*$M116),"")</f>
        <v/>
      </c>
      <c r="AF116" s="28" t="str">
        <f aca="false">IF($Y116=1,INDEX(Fournisseurs!$L$5:$L$24,MATCH($C116,Fournisseurs!$A$5:$A$24,0))*$AD116/($I116*$M116),"")</f>
        <v/>
      </c>
      <c r="AG116" s="28" t="str">
        <f aca="false">IF($Y116=1,$AA116*$U116/$I116,"")</f>
        <v/>
      </c>
      <c r="AH116" s="28" t="str">
        <f aca="false">IF($Y116=1,$AB116*$U116/$I116,"")</f>
        <v/>
      </c>
      <c r="AI116" s="18" t="str">
        <f aca="false">IF($Y116=1,IF(AND(Paramètres!$B$4="EFFECTIVE",$W116="CH",$AB116&gt;0),1,0),"")</f>
        <v/>
      </c>
      <c r="AJ116" s="28" t="str">
        <f aca="false">IF($Y116=1,IF($X116&lt;&gt;"CH",($AG116+$AE116+$AF116)*Paramètres!$B$14,0),"")</f>
        <v/>
      </c>
      <c r="AK116" s="29" t="str">
        <f aca="false">IF($Y116=1,$AG116+IF($AI116=1,0,$AH116)+$AE116+$AF116+IF(Paramètres!$B$4="NOT_REGISTERED",$AJ116,0),"")</f>
        <v/>
      </c>
      <c r="AL116" s="27" t="str">
        <f aca="false">IF($Y116=1,($AK116+Paramètres!$B$7+Paramètres!$B$8+Paramètres!$B$9+Paramètres!$B$10)/((1-Paramètres!$B$11)/(1+Paramètres!$B$5)-Paramètres!$B$6),"")</f>
        <v/>
      </c>
      <c r="AM116" s="26" t="str">
        <f aca="false">IF(AND($Y116=1,ISNUMBER($R116)),IF($R116&gt;0,$AL116/$R116-1,""),"")</f>
        <v/>
      </c>
      <c r="AN116" s="27" t="str">
        <f aca="false">IF(AND($Y116=1,ISNUMBER($R116)),IF($R116&gt;0,$R116/(1+Paramètres!$B$5)-$AK116-($R116*Paramètres!$B$6+Paramètres!$B$7)-Paramètres!$B$8-Paramètres!$B$9-Paramètres!$B$10,""),"")</f>
        <v/>
      </c>
      <c r="AO116" s="26" t="str">
        <f aca="false">IF(ISNUMBER($AN116),$AN116/($R116/(1+Paramètres!$B$5)),"")</f>
        <v/>
      </c>
      <c r="AP116" s="30" t="str">
        <f aca="false">IF($A116="","",IF($Y116&lt;&gt;1,"INCOMPLET",IF(NOT(ISNUMBER($AM116)),"SANS RÉF. MARCHÉ",IF($AM116&lt;=Paramètres!$B$12,"OK",IF(AND($AO116&gt;=Paramètres!$B$15,$AN116&gt;=Paramètres!$B$16),"À REVOIR","NON RENTABLE")))))</f>
        <v/>
      </c>
      <c r="AQ116" s="18" t="str">
        <f aca="false">TRIM(IF(AND($Y116=1,ISNUMBER($N116)),IF($M116&lt;$N116,"MOQ ",""),"")&amp;IF(AND($Y116=1,ISNUMBER($O116)),IF($O116&lt;$I116*$M116,"DISPO ",""),"")&amp;IF($S116="O","FICTIF ","")&amp;IF($Y116=1,IF(AND($K116="TTC",$W116&lt;&gt;"CH"),"TVA-ÉTRANGÈRE ",""),""))</f>
        <v/>
      </c>
      <c r="AR116" s="18" t="str">
        <f aca="false">IF($Y116=1,COUNTIFS($A$6:$A$205,$A116,$AK$6:$AK$205,"&lt;"&amp;$AK116,$Y$6:$Y$205,1)+1,"")</f>
        <v/>
      </c>
      <c r="AS116" s="18" t="str">
        <f aca="false">IF(ISNUMBER($AR116),$A116&amp;"|"&amp;$AR116,"")</f>
        <v/>
      </c>
      <c r="AT116" s="27" t="str">
        <f aca="false">IF($Y116=1,$AK116*$I116*$M116,"")</f>
        <v/>
      </c>
    </row>
    <row r="117" customFormat="false" ht="15" hidden="false" customHeight="false" outlineLevel="0" collapsed="false">
      <c r="A117" s="9"/>
      <c r="B117" s="9"/>
      <c r="C117" s="9"/>
      <c r="D117" s="9"/>
      <c r="E117" s="9"/>
      <c r="F117" s="9"/>
      <c r="G117" s="9"/>
      <c r="H117" s="9"/>
      <c r="I117" s="9"/>
      <c r="J117" s="13"/>
      <c r="K117" s="9"/>
      <c r="L117" s="12"/>
      <c r="M117" s="9"/>
      <c r="N117" s="9"/>
      <c r="O117" s="9"/>
      <c r="P117" s="9"/>
      <c r="Q117" s="16"/>
      <c r="R117" s="13"/>
      <c r="S117" s="9"/>
      <c r="T117" s="18" t="str">
        <f aca="false">IF($C117="","",IFERROR(INDEX(Fournisseurs!$C$5:$C$24,MATCH($C117,Fournisseurs!$A$5:$A$24,0)),""))</f>
        <v/>
      </c>
      <c r="U117" s="25" t="str">
        <f aca="false">IF($C117="","",IFERROR(INDEX(Fournisseurs!$D$5:$D$24,MATCH($C117,Fournisseurs!$A$5:$A$24,0)),""))</f>
        <v/>
      </c>
      <c r="V117" s="26" t="str">
        <f aca="false">IF($C117="","",IFERROR(INDEX(Fournisseurs!$G$5:$G$24,MATCH($C117,Fournisseurs!$A$5:$A$24,0)),""))</f>
        <v/>
      </c>
      <c r="W117" s="18" t="str">
        <f aca="false">IF($C117="","",IFERROR(INDEX(Fournisseurs!$H$5:$H$24,MATCH($C117,Fournisseurs!$A$5:$A$24,0)),""))</f>
        <v/>
      </c>
      <c r="X117" s="18" t="str">
        <f aca="false">IF($C117="","",IFERROR(INDEX(Fournisseurs!$B$5:$B$24,MATCH($C117,Fournisseurs!$A$5:$A$24,0)),""))</f>
        <v/>
      </c>
      <c r="Y117" s="18" t="str">
        <f aca="false">IF($A117="","",IF(AND($A117&lt;&gt;"",$C117&lt;&gt;"",ISNUMBER($I117),ISNUMBER($J117),ISNUMBER($M117)),IF(AND($I117&gt;=1,$J117&gt;0,OR($K117="HT",$K117="TTC"),$M117&gt;=1,IFERROR(INDEX(Fournisseurs!$T$5:$T$24,MATCH($C117,Fournisseurs!$A$5:$A$24,0)),0)=1),1,0),0))</f>
        <v/>
      </c>
      <c r="Z117" s="27" t="str">
        <f aca="false">IF($Y117=1,$J117*(1-N($L117)),"")</f>
        <v/>
      </c>
      <c r="AA117" s="28" t="str">
        <f aca="false">IF($Y117=1,IF($K117="TTC",$Z117/(1+$V117),$Z117),"")</f>
        <v/>
      </c>
      <c r="AB117" s="28" t="str">
        <f aca="false">IF($Y117=1,IF($K117="TTC",$Z117-$AA117,$AA117*$V117),"")</f>
        <v/>
      </c>
      <c r="AC117" s="27" t="str">
        <f aca="false">IF($Y117=1,$AA117*$U117*$M117,"")</f>
        <v/>
      </c>
      <c r="AD117" s="26" t="str">
        <f aca="false">IF($Y117=1,$AC117/SUMIFS($AC$6:$AC$205,$C$6:$C$205,$C117,$Y$6:$Y$205,1),"")</f>
        <v/>
      </c>
      <c r="AE117" s="28" t="str">
        <f aca="false">IF($Y117=1,(INDEX(Fournisseurs!$J$5:$J$24,MATCH($C117,Fournisseurs!$A$5:$A$24,0))+INDEX(Fournisseurs!$K$5:$K$24,MATCH($C117,Fournisseurs!$A$5:$A$24,0)))*$U117*$AD117/($I117*$M117),"")</f>
        <v/>
      </c>
      <c r="AF117" s="28" t="str">
        <f aca="false">IF($Y117=1,INDEX(Fournisseurs!$L$5:$L$24,MATCH($C117,Fournisseurs!$A$5:$A$24,0))*$AD117/($I117*$M117),"")</f>
        <v/>
      </c>
      <c r="AG117" s="28" t="str">
        <f aca="false">IF($Y117=1,$AA117*$U117/$I117,"")</f>
        <v/>
      </c>
      <c r="AH117" s="28" t="str">
        <f aca="false">IF($Y117=1,$AB117*$U117/$I117,"")</f>
        <v/>
      </c>
      <c r="AI117" s="18" t="str">
        <f aca="false">IF($Y117=1,IF(AND(Paramètres!$B$4="EFFECTIVE",$W117="CH",$AB117&gt;0),1,0),"")</f>
        <v/>
      </c>
      <c r="AJ117" s="28" t="str">
        <f aca="false">IF($Y117=1,IF($X117&lt;&gt;"CH",($AG117+$AE117+$AF117)*Paramètres!$B$14,0),"")</f>
        <v/>
      </c>
      <c r="AK117" s="29" t="str">
        <f aca="false">IF($Y117=1,$AG117+IF($AI117=1,0,$AH117)+$AE117+$AF117+IF(Paramètres!$B$4="NOT_REGISTERED",$AJ117,0),"")</f>
        <v/>
      </c>
      <c r="AL117" s="27" t="str">
        <f aca="false">IF($Y117=1,($AK117+Paramètres!$B$7+Paramètres!$B$8+Paramètres!$B$9+Paramètres!$B$10)/((1-Paramètres!$B$11)/(1+Paramètres!$B$5)-Paramètres!$B$6),"")</f>
        <v/>
      </c>
      <c r="AM117" s="26" t="str">
        <f aca="false">IF(AND($Y117=1,ISNUMBER($R117)),IF($R117&gt;0,$AL117/$R117-1,""),"")</f>
        <v/>
      </c>
      <c r="AN117" s="27" t="str">
        <f aca="false">IF(AND($Y117=1,ISNUMBER($R117)),IF($R117&gt;0,$R117/(1+Paramètres!$B$5)-$AK117-($R117*Paramètres!$B$6+Paramètres!$B$7)-Paramètres!$B$8-Paramètres!$B$9-Paramètres!$B$10,""),"")</f>
        <v/>
      </c>
      <c r="AO117" s="26" t="str">
        <f aca="false">IF(ISNUMBER($AN117),$AN117/($R117/(1+Paramètres!$B$5)),"")</f>
        <v/>
      </c>
      <c r="AP117" s="30" t="str">
        <f aca="false">IF($A117="","",IF($Y117&lt;&gt;1,"INCOMPLET",IF(NOT(ISNUMBER($AM117)),"SANS RÉF. MARCHÉ",IF($AM117&lt;=Paramètres!$B$12,"OK",IF(AND($AO117&gt;=Paramètres!$B$15,$AN117&gt;=Paramètres!$B$16),"À REVOIR","NON RENTABLE")))))</f>
        <v/>
      </c>
      <c r="AQ117" s="18" t="str">
        <f aca="false">TRIM(IF(AND($Y117=1,ISNUMBER($N117)),IF($M117&lt;$N117,"MOQ ",""),"")&amp;IF(AND($Y117=1,ISNUMBER($O117)),IF($O117&lt;$I117*$M117,"DISPO ",""),"")&amp;IF($S117="O","FICTIF ","")&amp;IF($Y117=1,IF(AND($K117="TTC",$W117&lt;&gt;"CH"),"TVA-ÉTRANGÈRE ",""),""))</f>
        <v/>
      </c>
      <c r="AR117" s="18" t="str">
        <f aca="false">IF($Y117=1,COUNTIFS($A$6:$A$205,$A117,$AK$6:$AK$205,"&lt;"&amp;$AK117,$Y$6:$Y$205,1)+1,"")</f>
        <v/>
      </c>
      <c r="AS117" s="18" t="str">
        <f aca="false">IF(ISNUMBER($AR117),$A117&amp;"|"&amp;$AR117,"")</f>
        <v/>
      </c>
      <c r="AT117" s="27" t="str">
        <f aca="false">IF($Y117=1,$AK117*$I117*$M117,"")</f>
        <v/>
      </c>
    </row>
    <row r="118" customFormat="false" ht="15" hidden="false" customHeight="false" outlineLevel="0" collapsed="false">
      <c r="A118" s="9"/>
      <c r="B118" s="9"/>
      <c r="C118" s="9"/>
      <c r="D118" s="9"/>
      <c r="E118" s="9"/>
      <c r="F118" s="9"/>
      <c r="G118" s="9"/>
      <c r="H118" s="9"/>
      <c r="I118" s="9"/>
      <c r="J118" s="13"/>
      <c r="K118" s="9"/>
      <c r="L118" s="12"/>
      <c r="M118" s="9"/>
      <c r="N118" s="9"/>
      <c r="O118" s="9"/>
      <c r="P118" s="9"/>
      <c r="Q118" s="16"/>
      <c r="R118" s="13"/>
      <c r="S118" s="9"/>
      <c r="T118" s="18" t="str">
        <f aca="false">IF($C118="","",IFERROR(INDEX(Fournisseurs!$C$5:$C$24,MATCH($C118,Fournisseurs!$A$5:$A$24,0)),""))</f>
        <v/>
      </c>
      <c r="U118" s="25" t="str">
        <f aca="false">IF($C118="","",IFERROR(INDEX(Fournisseurs!$D$5:$D$24,MATCH($C118,Fournisseurs!$A$5:$A$24,0)),""))</f>
        <v/>
      </c>
      <c r="V118" s="26" t="str">
        <f aca="false">IF($C118="","",IFERROR(INDEX(Fournisseurs!$G$5:$G$24,MATCH($C118,Fournisseurs!$A$5:$A$24,0)),""))</f>
        <v/>
      </c>
      <c r="W118" s="18" t="str">
        <f aca="false">IF($C118="","",IFERROR(INDEX(Fournisseurs!$H$5:$H$24,MATCH($C118,Fournisseurs!$A$5:$A$24,0)),""))</f>
        <v/>
      </c>
      <c r="X118" s="18" t="str">
        <f aca="false">IF($C118="","",IFERROR(INDEX(Fournisseurs!$B$5:$B$24,MATCH($C118,Fournisseurs!$A$5:$A$24,0)),""))</f>
        <v/>
      </c>
      <c r="Y118" s="18" t="str">
        <f aca="false">IF($A118="","",IF(AND($A118&lt;&gt;"",$C118&lt;&gt;"",ISNUMBER($I118),ISNUMBER($J118),ISNUMBER($M118)),IF(AND($I118&gt;=1,$J118&gt;0,OR($K118="HT",$K118="TTC"),$M118&gt;=1,IFERROR(INDEX(Fournisseurs!$T$5:$T$24,MATCH($C118,Fournisseurs!$A$5:$A$24,0)),0)=1),1,0),0))</f>
        <v/>
      </c>
      <c r="Z118" s="27" t="str">
        <f aca="false">IF($Y118=1,$J118*(1-N($L118)),"")</f>
        <v/>
      </c>
      <c r="AA118" s="28" t="str">
        <f aca="false">IF($Y118=1,IF($K118="TTC",$Z118/(1+$V118),$Z118),"")</f>
        <v/>
      </c>
      <c r="AB118" s="28" t="str">
        <f aca="false">IF($Y118=1,IF($K118="TTC",$Z118-$AA118,$AA118*$V118),"")</f>
        <v/>
      </c>
      <c r="AC118" s="27" t="str">
        <f aca="false">IF($Y118=1,$AA118*$U118*$M118,"")</f>
        <v/>
      </c>
      <c r="AD118" s="26" t="str">
        <f aca="false">IF($Y118=1,$AC118/SUMIFS($AC$6:$AC$205,$C$6:$C$205,$C118,$Y$6:$Y$205,1),"")</f>
        <v/>
      </c>
      <c r="AE118" s="28" t="str">
        <f aca="false">IF($Y118=1,(INDEX(Fournisseurs!$J$5:$J$24,MATCH($C118,Fournisseurs!$A$5:$A$24,0))+INDEX(Fournisseurs!$K$5:$K$24,MATCH($C118,Fournisseurs!$A$5:$A$24,0)))*$U118*$AD118/($I118*$M118),"")</f>
        <v/>
      </c>
      <c r="AF118" s="28" t="str">
        <f aca="false">IF($Y118=1,INDEX(Fournisseurs!$L$5:$L$24,MATCH($C118,Fournisseurs!$A$5:$A$24,0))*$AD118/($I118*$M118),"")</f>
        <v/>
      </c>
      <c r="AG118" s="28" t="str">
        <f aca="false">IF($Y118=1,$AA118*$U118/$I118,"")</f>
        <v/>
      </c>
      <c r="AH118" s="28" t="str">
        <f aca="false">IF($Y118=1,$AB118*$U118/$I118,"")</f>
        <v/>
      </c>
      <c r="AI118" s="18" t="str">
        <f aca="false">IF($Y118=1,IF(AND(Paramètres!$B$4="EFFECTIVE",$W118="CH",$AB118&gt;0),1,0),"")</f>
        <v/>
      </c>
      <c r="AJ118" s="28" t="str">
        <f aca="false">IF($Y118=1,IF($X118&lt;&gt;"CH",($AG118+$AE118+$AF118)*Paramètres!$B$14,0),"")</f>
        <v/>
      </c>
      <c r="AK118" s="29" t="str">
        <f aca="false">IF($Y118=1,$AG118+IF($AI118=1,0,$AH118)+$AE118+$AF118+IF(Paramètres!$B$4="NOT_REGISTERED",$AJ118,0),"")</f>
        <v/>
      </c>
      <c r="AL118" s="27" t="str">
        <f aca="false">IF($Y118=1,($AK118+Paramètres!$B$7+Paramètres!$B$8+Paramètres!$B$9+Paramètres!$B$10)/((1-Paramètres!$B$11)/(1+Paramètres!$B$5)-Paramètres!$B$6),"")</f>
        <v/>
      </c>
      <c r="AM118" s="26" t="str">
        <f aca="false">IF(AND($Y118=1,ISNUMBER($R118)),IF($R118&gt;0,$AL118/$R118-1,""),"")</f>
        <v/>
      </c>
      <c r="AN118" s="27" t="str">
        <f aca="false">IF(AND($Y118=1,ISNUMBER($R118)),IF($R118&gt;0,$R118/(1+Paramètres!$B$5)-$AK118-($R118*Paramètres!$B$6+Paramètres!$B$7)-Paramètres!$B$8-Paramètres!$B$9-Paramètres!$B$10,""),"")</f>
        <v/>
      </c>
      <c r="AO118" s="26" t="str">
        <f aca="false">IF(ISNUMBER($AN118),$AN118/($R118/(1+Paramètres!$B$5)),"")</f>
        <v/>
      </c>
      <c r="AP118" s="30" t="str">
        <f aca="false">IF($A118="","",IF($Y118&lt;&gt;1,"INCOMPLET",IF(NOT(ISNUMBER($AM118)),"SANS RÉF. MARCHÉ",IF($AM118&lt;=Paramètres!$B$12,"OK",IF(AND($AO118&gt;=Paramètres!$B$15,$AN118&gt;=Paramètres!$B$16),"À REVOIR","NON RENTABLE")))))</f>
        <v/>
      </c>
      <c r="AQ118" s="18" t="str">
        <f aca="false">TRIM(IF(AND($Y118=1,ISNUMBER($N118)),IF($M118&lt;$N118,"MOQ ",""),"")&amp;IF(AND($Y118=1,ISNUMBER($O118)),IF($O118&lt;$I118*$M118,"DISPO ",""),"")&amp;IF($S118="O","FICTIF ","")&amp;IF($Y118=1,IF(AND($K118="TTC",$W118&lt;&gt;"CH"),"TVA-ÉTRANGÈRE ",""),""))</f>
        <v/>
      </c>
      <c r="AR118" s="18" t="str">
        <f aca="false">IF($Y118=1,COUNTIFS($A$6:$A$205,$A118,$AK$6:$AK$205,"&lt;"&amp;$AK118,$Y$6:$Y$205,1)+1,"")</f>
        <v/>
      </c>
      <c r="AS118" s="18" t="str">
        <f aca="false">IF(ISNUMBER($AR118),$A118&amp;"|"&amp;$AR118,"")</f>
        <v/>
      </c>
      <c r="AT118" s="27" t="str">
        <f aca="false">IF($Y118=1,$AK118*$I118*$M118,"")</f>
        <v/>
      </c>
    </row>
    <row r="119" customFormat="false" ht="15" hidden="false" customHeight="false" outlineLevel="0" collapsed="false">
      <c r="A119" s="9"/>
      <c r="B119" s="9"/>
      <c r="C119" s="9"/>
      <c r="D119" s="9"/>
      <c r="E119" s="9"/>
      <c r="F119" s="9"/>
      <c r="G119" s="9"/>
      <c r="H119" s="9"/>
      <c r="I119" s="9"/>
      <c r="J119" s="13"/>
      <c r="K119" s="9"/>
      <c r="L119" s="12"/>
      <c r="M119" s="9"/>
      <c r="N119" s="9"/>
      <c r="O119" s="9"/>
      <c r="P119" s="9"/>
      <c r="Q119" s="16"/>
      <c r="R119" s="13"/>
      <c r="S119" s="9"/>
      <c r="T119" s="18" t="str">
        <f aca="false">IF($C119="","",IFERROR(INDEX(Fournisseurs!$C$5:$C$24,MATCH($C119,Fournisseurs!$A$5:$A$24,0)),""))</f>
        <v/>
      </c>
      <c r="U119" s="25" t="str">
        <f aca="false">IF($C119="","",IFERROR(INDEX(Fournisseurs!$D$5:$D$24,MATCH($C119,Fournisseurs!$A$5:$A$24,0)),""))</f>
        <v/>
      </c>
      <c r="V119" s="26" t="str">
        <f aca="false">IF($C119="","",IFERROR(INDEX(Fournisseurs!$G$5:$G$24,MATCH($C119,Fournisseurs!$A$5:$A$24,0)),""))</f>
        <v/>
      </c>
      <c r="W119" s="18" t="str">
        <f aca="false">IF($C119="","",IFERROR(INDEX(Fournisseurs!$H$5:$H$24,MATCH($C119,Fournisseurs!$A$5:$A$24,0)),""))</f>
        <v/>
      </c>
      <c r="X119" s="18" t="str">
        <f aca="false">IF($C119="","",IFERROR(INDEX(Fournisseurs!$B$5:$B$24,MATCH($C119,Fournisseurs!$A$5:$A$24,0)),""))</f>
        <v/>
      </c>
      <c r="Y119" s="18" t="str">
        <f aca="false">IF($A119="","",IF(AND($A119&lt;&gt;"",$C119&lt;&gt;"",ISNUMBER($I119),ISNUMBER($J119),ISNUMBER($M119)),IF(AND($I119&gt;=1,$J119&gt;0,OR($K119="HT",$K119="TTC"),$M119&gt;=1,IFERROR(INDEX(Fournisseurs!$T$5:$T$24,MATCH($C119,Fournisseurs!$A$5:$A$24,0)),0)=1),1,0),0))</f>
        <v/>
      </c>
      <c r="Z119" s="27" t="str">
        <f aca="false">IF($Y119=1,$J119*(1-N($L119)),"")</f>
        <v/>
      </c>
      <c r="AA119" s="28" t="str">
        <f aca="false">IF($Y119=1,IF($K119="TTC",$Z119/(1+$V119),$Z119),"")</f>
        <v/>
      </c>
      <c r="AB119" s="28" t="str">
        <f aca="false">IF($Y119=1,IF($K119="TTC",$Z119-$AA119,$AA119*$V119),"")</f>
        <v/>
      </c>
      <c r="AC119" s="27" t="str">
        <f aca="false">IF($Y119=1,$AA119*$U119*$M119,"")</f>
        <v/>
      </c>
      <c r="AD119" s="26" t="str">
        <f aca="false">IF($Y119=1,$AC119/SUMIFS($AC$6:$AC$205,$C$6:$C$205,$C119,$Y$6:$Y$205,1),"")</f>
        <v/>
      </c>
      <c r="AE119" s="28" t="str">
        <f aca="false">IF($Y119=1,(INDEX(Fournisseurs!$J$5:$J$24,MATCH($C119,Fournisseurs!$A$5:$A$24,0))+INDEX(Fournisseurs!$K$5:$K$24,MATCH($C119,Fournisseurs!$A$5:$A$24,0)))*$U119*$AD119/($I119*$M119),"")</f>
        <v/>
      </c>
      <c r="AF119" s="28" t="str">
        <f aca="false">IF($Y119=1,INDEX(Fournisseurs!$L$5:$L$24,MATCH($C119,Fournisseurs!$A$5:$A$24,0))*$AD119/($I119*$M119),"")</f>
        <v/>
      </c>
      <c r="AG119" s="28" t="str">
        <f aca="false">IF($Y119=1,$AA119*$U119/$I119,"")</f>
        <v/>
      </c>
      <c r="AH119" s="28" t="str">
        <f aca="false">IF($Y119=1,$AB119*$U119/$I119,"")</f>
        <v/>
      </c>
      <c r="AI119" s="18" t="str">
        <f aca="false">IF($Y119=1,IF(AND(Paramètres!$B$4="EFFECTIVE",$W119="CH",$AB119&gt;0),1,0),"")</f>
        <v/>
      </c>
      <c r="AJ119" s="28" t="str">
        <f aca="false">IF($Y119=1,IF($X119&lt;&gt;"CH",($AG119+$AE119+$AF119)*Paramètres!$B$14,0),"")</f>
        <v/>
      </c>
      <c r="AK119" s="29" t="str">
        <f aca="false">IF($Y119=1,$AG119+IF($AI119=1,0,$AH119)+$AE119+$AF119+IF(Paramètres!$B$4="NOT_REGISTERED",$AJ119,0),"")</f>
        <v/>
      </c>
      <c r="AL119" s="27" t="str">
        <f aca="false">IF($Y119=1,($AK119+Paramètres!$B$7+Paramètres!$B$8+Paramètres!$B$9+Paramètres!$B$10)/((1-Paramètres!$B$11)/(1+Paramètres!$B$5)-Paramètres!$B$6),"")</f>
        <v/>
      </c>
      <c r="AM119" s="26" t="str">
        <f aca="false">IF(AND($Y119=1,ISNUMBER($R119)),IF($R119&gt;0,$AL119/$R119-1,""),"")</f>
        <v/>
      </c>
      <c r="AN119" s="27" t="str">
        <f aca="false">IF(AND($Y119=1,ISNUMBER($R119)),IF($R119&gt;0,$R119/(1+Paramètres!$B$5)-$AK119-($R119*Paramètres!$B$6+Paramètres!$B$7)-Paramètres!$B$8-Paramètres!$B$9-Paramètres!$B$10,""),"")</f>
        <v/>
      </c>
      <c r="AO119" s="26" t="str">
        <f aca="false">IF(ISNUMBER($AN119),$AN119/($R119/(1+Paramètres!$B$5)),"")</f>
        <v/>
      </c>
      <c r="AP119" s="30" t="str">
        <f aca="false">IF($A119="","",IF($Y119&lt;&gt;1,"INCOMPLET",IF(NOT(ISNUMBER($AM119)),"SANS RÉF. MARCHÉ",IF($AM119&lt;=Paramètres!$B$12,"OK",IF(AND($AO119&gt;=Paramètres!$B$15,$AN119&gt;=Paramètres!$B$16),"À REVOIR","NON RENTABLE")))))</f>
        <v/>
      </c>
      <c r="AQ119" s="18" t="str">
        <f aca="false">TRIM(IF(AND($Y119=1,ISNUMBER($N119)),IF($M119&lt;$N119,"MOQ ",""),"")&amp;IF(AND($Y119=1,ISNUMBER($O119)),IF($O119&lt;$I119*$M119,"DISPO ",""),"")&amp;IF($S119="O","FICTIF ","")&amp;IF($Y119=1,IF(AND($K119="TTC",$W119&lt;&gt;"CH"),"TVA-ÉTRANGÈRE ",""),""))</f>
        <v/>
      </c>
      <c r="AR119" s="18" t="str">
        <f aca="false">IF($Y119=1,COUNTIFS($A$6:$A$205,$A119,$AK$6:$AK$205,"&lt;"&amp;$AK119,$Y$6:$Y$205,1)+1,"")</f>
        <v/>
      </c>
      <c r="AS119" s="18" t="str">
        <f aca="false">IF(ISNUMBER($AR119),$A119&amp;"|"&amp;$AR119,"")</f>
        <v/>
      </c>
      <c r="AT119" s="27" t="str">
        <f aca="false">IF($Y119=1,$AK119*$I119*$M119,"")</f>
        <v/>
      </c>
    </row>
    <row r="120" customFormat="false" ht="15" hidden="false" customHeight="false" outlineLevel="0" collapsed="false">
      <c r="A120" s="9"/>
      <c r="B120" s="9"/>
      <c r="C120" s="9"/>
      <c r="D120" s="9"/>
      <c r="E120" s="9"/>
      <c r="F120" s="9"/>
      <c r="G120" s="9"/>
      <c r="H120" s="9"/>
      <c r="I120" s="9"/>
      <c r="J120" s="13"/>
      <c r="K120" s="9"/>
      <c r="L120" s="12"/>
      <c r="M120" s="9"/>
      <c r="N120" s="9"/>
      <c r="O120" s="9"/>
      <c r="P120" s="9"/>
      <c r="Q120" s="16"/>
      <c r="R120" s="13"/>
      <c r="S120" s="9"/>
      <c r="T120" s="18" t="str">
        <f aca="false">IF($C120="","",IFERROR(INDEX(Fournisseurs!$C$5:$C$24,MATCH($C120,Fournisseurs!$A$5:$A$24,0)),""))</f>
        <v/>
      </c>
      <c r="U120" s="25" t="str">
        <f aca="false">IF($C120="","",IFERROR(INDEX(Fournisseurs!$D$5:$D$24,MATCH($C120,Fournisseurs!$A$5:$A$24,0)),""))</f>
        <v/>
      </c>
      <c r="V120" s="26" t="str">
        <f aca="false">IF($C120="","",IFERROR(INDEX(Fournisseurs!$G$5:$G$24,MATCH($C120,Fournisseurs!$A$5:$A$24,0)),""))</f>
        <v/>
      </c>
      <c r="W120" s="18" t="str">
        <f aca="false">IF($C120="","",IFERROR(INDEX(Fournisseurs!$H$5:$H$24,MATCH($C120,Fournisseurs!$A$5:$A$24,0)),""))</f>
        <v/>
      </c>
      <c r="X120" s="18" t="str">
        <f aca="false">IF($C120="","",IFERROR(INDEX(Fournisseurs!$B$5:$B$24,MATCH($C120,Fournisseurs!$A$5:$A$24,0)),""))</f>
        <v/>
      </c>
      <c r="Y120" s="18" t="str">
        <f aca="false">IF($A120="","",IF(AND($A120&lt;&gt;"",$C120&lt;&gt;"",ISNUMBER($I120),ISNUMBER($J120),ISNUMBER($M120)),IF(AND($I120&gt;=1,$J120&gt;0,OR($K120="HT",$K120="TTC"),$M120&gt;=1,IFERROR(INDEX(Fournisseurs!$T$5:$T$24,MATCH($C120,Fournisseurs!$A$5:$A$24,0)),0)=1),1,0),0))</f>
        <v/>
      </c>
      <c r="Z120" s="27" t="str">
        <f aca="false">IF($Y120=1,$J120*(1-N($L120)),"")</f>
        <v/>
      </c>
      <c r="AA120" s="28" t="str">
        <f aca="false">IF($Y120=1,IF($K120="TTC",$Z120/(1+$V120),$Z120),"")</f>
        <v/>
      </c>
      <c r="AB120" s="28" t="str">
        <f aca="false">IF($Y120=1,IF($K120="TTC",$Z120-$AA120,$AA120*$V120),"")</f>
        <v/>
      </c>
      <c r="AC120" s="27" t="str">
        <f aca="false">IF($Y120=1,$AA120*$U120*$M120,"")</f>
        <v/>
      </c>
      <c r="AD120" s="26" t="str">
        <f aca="false">IF($Y120=1,$AC120/SUMIFS($AC$6:$AC$205,$C$6:$C$205,$C120,$Y$6:$Y$205,1),"")</f>
        <v/>
      </c>
      <c r="AE120" s="28" t="str">
        <f aca="false">IF($Y120=1,(INDEX(Fournisseurs!$J$5:$J$24,MATCH($C120,Fournisseurs!$A$5:$A$24,0))+INDEX(Fournisseurs!$K$5:$K$24,MATCH($C120,Fournisseurs!$A$5:$A$24,0)))*$U120*$AD120/($I120*$M120),"")</f>
        <v/>
      </c>
      <c r="AF120" s="28" t="str">
        <f aca="false">IF($Y120=1,INDEX(Fournisseurs!$L$5:$L$24,MATCH($C120,Fournisseurs!$A$5:$A$24,0))*$AD120/($I120*$M120),"")</f>
        <v/>
      </c>
      <c r="AG120" s="28" t="str">
        <f aca="false">IF($Y120=1,$AA120*$U120/$I120,"")</f>
        <v/>
      </c>
      <c r="AH120" s="28" t="str">
        <f aca="false">IF($Y120=1,$AB120*$U120/$I120,"")</f>
        <v/>
      </c>
      <c r="AI120" s="18" t="str">
        <f aca="false">IF($Y120=1,IF(AND(Paramètres!$B$4="EFFECTIVE",$W120="CH",$AB120&gt;0),1,0),"")</f>
        <v/>
      </c>
      <c r="AJ120" s="28" t="str">
        <f aca="false">IF($Y120=1,IF($X120&lt;&gt;"CH",($AG120+$AE120+$AF120)*Paramètres!$B$14,0),"")</f>
        <v/>
      </c>
      <c r="AK120" s="29" t="str">
        <f aca="false">IF($Y120=1,$AG120+IF($AI120=1,0,$AH120)+$AE120+$AF120+IF(Paramètres!$B$4="NOT_REGISTERED",$AJ120,0),"")</f>
        <v/>
      </c>
      <c r="AL120" s="27" t="str">
        <f aca="false">IF($Y120=1,($AK120+Paramètres!$B$7+Paramètres!$B$8+Paramètres!$B$9+Paramètres!$B$10)/((1-Paramètres!$B$11)/(1+Paramètres!$B$5)-Paramètres!$B$6),"")</f>
        <v/>
      </c>
      <c r="AM120" s="26" t="str">
        <f aca="false">IF(AND($Y120=1,ISNUMBER($R120)),IF($R120&gt;0,$AL120/$R120-1,""),"")</f>
        <v/>
      </c>
      <c r="AN120" s="27" t="str">
        <f aca="false">IF(AND($Y120=1,ISNUMBER($R120)),IF($R120&gt;0,$R120/(1+Paramètres!$B$5)-$AK120-($R120*Paramètres!$B$6+Paramètres!$B$7)-Paramètres!$B$8-Paramètres!$B$9-Paramètres!$B$10,""),"")</f>
        <v/>
      </c>
      <c r="AO120" s="26" t="str">
        <f aca="false">IF(ISNUMBER($AN120),$AN120/($R120/(1+Paramètres!$B$5)),"")</f>
        <v/>
      </c>
      <c r="AP120" s="30" t="str">
        <f aca="false">IF($A120="","",IF($Y120&lt;&gt;1,"INCOMPLET",IF(NOT(ISNUMBER($AM120)),"SANS RÉF. MARCHÉ",IF($AM120&lt;=Paramètres!$B$12,"OK",IF(AND($AO120&gt;=Paramètres!$B$15,$AN120&gt;=Paramètres!$B$16),"À REVOIR","NON RENTABLE")))))</f>
        <v/>
      </c>
      <c r="AQ120" s="18" t="str">
        <f aca="false">TRIM(IF(AND($Y120=1,ISNUMBER($N120)),IF($M120&lt;$N120,"MOQ ",""),"")&amp;IF(AND($Y120=1,ISNUMBER($O120)),IF($O120&lt;$I120*$M120,"DISPO ",""),"")&amp;IF($S120="O","FICTIF ","")&amp;IF($Y120=1,IF(AND($K120="TTC",$W120&lt;&gt;"CH"),"TVA-ÉTRANGÈRE ",""),""))</f>
        <v/>
      </c>
      <c r="AR120" s="18" t="str">
        <f aca="false">IF($Y120=1,COUNTIFS($A$6:$A$205,$A120,$AK$6:$AK$205,"&lt;"&amp;$AK120,$Y$6:$Y$205,1)+1,"")</f>
        <v/>
      </c>
      <c r="AS120" s="18" t="str">
        <f aca="false">IF(ISNUMBER($AR120),$A120&amp;"|"&amp;$AR120,"")</f>
        <v/>
      </c>
      <c r="AT120" s="27" t="str">
        <f aca="false">IF($Y120=1,$AK120*$I120*$M120,"")</f>
        <v/>
      </c>
    </row>
    <row r="121" customFormat="false" ht="15" hidden="false" customHeight="false" outlineLevel="0" collapsed="false">
      <c r="A121" s="9"/>
      <c r="B121" s="9"/>
      <c r="C121" s="9"/>
      <c r="D121" s="9"/>
      <c r="E121" s="9"/>
      <c r="F121" s="9"/>
      <c r="G121" s="9"/>
      <c r="H121" s="9"/>
      <c r="I121" s="9"/>
      <c r="J121" s="13"/>
      <c r="K121" s="9"/>
      <c r="L121" s="12"/>
      <c r="M121" s="9"/>
      <c r="N121" s="9"/>
      <c r="O121" s="9"/>
      <c r="P121" s="9"/>
      <c r="Q121" s="16"/>
      <c r="R121" s="13"/>
      <c r="S121" s="9"/>
      <c r="T121" s="18" t="str">
        <f aca="false">IF($C121="","",IFERROR(INDEX(Fournisseurs!$C$5:$C$24,MATCH($C121,Fournisseurs!$A$5:$A$24,0)),""))</f>
        <v/>
      </c>
      <c r="U121" s="25" t="str">
        <f aca="false">IF($C121="","",IFERROR(INDEX(Fournisseurs!$D$5:$D$24,MATCH($C121,Fournisseurs!$A$5:$A$24,0)),""))</f>
        <v/>
      </c>
      <c r="V121" s="26" t="str">
        <f aca="false">IF($C121="","",IFERROR(INDEX(Fournisseurs!$G$5:$G$24,MATCH($C121,Fournisseurs!$A$5:$A$24,0)),""))</f>
        <v/>
      </c>
      <c r="W121" s="18" t="str">
        <f aca="false">IF($C121="","",IFERROR(INDEX(Fournisseurs!$H$5:$H$24,MATCH($C121,Fournisseurs!$A$5:$A$24,0)),""))</f>
        <v/>
      </c>
      <c r="X121" s="18" t="str">
        <f aca="false">IF($C121="","",IFERROR(INDEX(Fournisseurs!$B$5:$B$24,MATCH($C121,Fournisseurs!$A$5:$A$24,0)),""))</f>
        <v/>
      </c>
      <c r="Y121" s="18" t="str">
        <f aca="false">IF($A121="","",IF(AND($A121&lt;&gt;"",$C121&lt;&gt;"",ISNUMBER($I121),ISNUMBER($J121),ISNUMBER($M121)),IF(AND($I121&gt;=1,$J121&gt;0,OR($K121="HT",$K121="TTC"),$M121&gt;=1,IFERROR(INDEX(Fournisseurs!$T$5:$T$24,MATCH($C121,Fournisseurs!$A$5:$A$24,0)),0)=1),1,0),0))</f>
        <v/>
      </c>
      <c r="Z121" s="27" t="str">
        <f aca="false">IF($Y121=1,$J121*(1-N($L121)),"")</f>
        <v/>
      </c>
      <c r="AA121" s="28" t="str">
        <f aca="false">IF($Y121=1,IF($K121="TTC",$Z121/(1+$V121),$Z121),"")</f>
        <v/>
      </c>
      <c r="AB121" s="28" t="str">
        <f aca="false">IF($Y121=1,IF($K121="TTC",$Z121-$AA121,$AA121*$V121),"")</f>
        <v/>
      </c>
      <c r="AC121" s="27" t="str">
        <f aca="false">IF($Y121=1,$AA121*$U121*$M121,"")</f>
        <v/>
      </c>
      <c r="AD121" s="26" t="str">
        <f aca="false">IF($Y121=1,$AC121/SUMIFS($AC$6:$AC$205,$C$6:$C$205,$C121,$Y$6:$Y$205,1),"")</f>
        <v/>
      </c>
      <c r="AE121" s="28" t="str">
        <f aca="false">IF($Y121=1,(INDEX(Fournisseurs!$J$5:$J$24,MATCH($C121,Fournisseurs!$A$5:$A$24,0))+INDEX(Fournisseurs!$K$5:$K$24,MATCH($C121,Fournisseurs!$A$5:$A$24,0)))*$U121*$AD121/($I121*$M121),"")</f>
        <v/>
      </c>
      <c r="AF121" s="28" t="str">
        <f aca="false">IF($Y121=1,INDEX(Fournisseurs!$L$5:$L$24,MATCH($C121,Fournisseurs!$A$5:$A$24,0))*$AD121/($I121*$M121),"")</f>
        <v/>
      </c>
      <c r="AG121" s="28" t="str">
        <f aca="false">IF($Y121=1,$AA121*$U121/$I121,"")</f>
        <v/>
      </c>
      <c r="AH121" s="28" t="str">
        <f aca="false">IF($Y121=1,$AB121*$U121/$I121,"")</f>
        <v/>
      </c>
      <c r="AI121" s="18" t="str">
        <f aca="false">IF($Y121=1,IF(AND(Paramètres!$B$4="EFFECTIVE",$W121="CH",$AB121&gt;0),1,0),"")</f>
        <v/>
      </c>
      <c r="AJ121" s="28" t="str">
        <f aca="false">IF($Y121=1,IF($X121&lt;&gt;"CH",($AG121+$AE121+$AF121)*Paramètres!$B$14,0),"")</f>
        <v/>
      </c>
      <c r="AK121" s="29" t="str">
        <f aca="false">IF($Y121=1,$AG121+IF($AI121=1,0,$AH121)+$AE121+$AF121+IF(Paramètres!$B$4="NOT_REGISTERED",$AJ121,0),"")</f>
        <v/>
      </c>
      <c r="AL121" s="27" t="str">
        <f aca="false">IF($Y121=1,($AK121+Paramètres!$B$7+Paramètres!$B$8+Paramètres!$B$9+Paramètres!$B$10)/((1-Paramètres!$B$11)/(1+Paramètres!$B$5)-Paramètres!$B$6),"")</f>
        <v/>
      </c>
      <c r="AM121" s="26" t="str">
        <f aca="false">IF(AND($Y121=1,ISNUMBER($R121)),IF($R121&gt;0,$AL121/$R121-1,""),"")</f>
        <v/>
      </c>
      <c r="AN121" s="27" t="str">
        <f aca="false">IF(AND($Y121=1,ISNUMBER($R121)),IF($R121&gt;0,$R121/(1+Paramètres!$B$5)-$AK121-($R121*Paramètres!$B$6+Paramètres!$B$7)-Paramètres!$B$8-Paramètres!$B$9-Paramètres!$B$10,""),"")</f>
        <v/>
      </c>
      <c r="AO121" s="26" t="str">
        <f aca="false">IF(ISNUMBER($AN121),$AN121/($R121/(1+Paramètres!$B$5)),"")</f>
        <v/>
      </c>
      <c r="AP121" s="30" t="str">
        <f aca="false">IF($A121="","",IF($Y121&lt;&gt;1,"INCOMPLET",IF(NOT(ISNUMBER($AM121)),"SANS RÉF. MARCHÉ",IF($AM121&lt;=Paramètres!$B$12,"OK",IF(AND($AO121&gt;=Paramètres!$B$15,$AN121&gt;=Paramètres!$B$16),"À REVOIR","NON RENTABLE")))))</f>
        <v/>
      </c>
      <c r="AQ121" s="18" t="str">
        <f aca="false">TRIM(IF(AND($Y121=1,ISNUMBER($N121)),IF($M121&lt;$N121,"MOQ ",""),"")&amp;IF(AND($Y121=1,ISNUMBER($O121)),IF($O121&lt;$I121*$M121,"DISPO ",""),"")&amp;IF($S121="O","FICTIF ","")&amp;IF($Y121=1,IF(AND($K121="TTC",$W121&lt;&gt;"CH"),"TVA-ÉTRANGÈRE ",""),""))</f>
        <v/>
      </c>
      <c r="AR121" s="18" t="str">
        <f aca="false">IF($Y121=1,COUNTIFS($A$6:$A$205,$A121,$AK$6:$AK$205,"&lt;"&amp;$AK121,$Y$6:$Y$205,1)+1,"")</f>
        <v/>
      </c>
      <c r="AS121" s="18" t="str">
        <f aca="false">IF(ISNUMBER($AR121),$A121&amp;"|"&amp;$AR121,"")</f>
        <v/>
      </c>
      <c r="AT121" s="27" t="str">
        <f aca="false">IF($Y121=1,$AK121*$I121*$M121,"")</f>
        <v/>
      </c>
    </row>
    <row r="122" customFormat="false" ht="15" hidden="false" customHeight="false" outlineLevel="0" collapsed="false">
      <c r="A122" s="9"/>
      <c r="B122" s="9"/>
      <c r="C122" s="9"/>
      <c r="D122" s="9"/>
      <c r="E122" s="9"/>
      <c r="F122" s="9"/>
      <c r="G122" s="9"/>
      <c r="H122" s="9"/>
      <c r="I122" s="9"/>
      <c r="J122" s="13"/>
      <c r="K122" s="9"/>
      <c r="L122" s="12"/>
      <c r="M122" s="9"/>
      <c r="N122" s="9"/>
      <c r="O122" s="9"/>
      <c r="P122" s="9"/>
      <c r="Q122" s="16"/>
      <c r="R122" s="13"/>
      <c r="S122" s="9"/>
      <c r="T122" s="18" t="str">
        <f aca="false">IF($C122="","",IFERROR(INDEX(Fournisseurs!$C$5:$C$24,MATCH($C122,Fournisseurs!$A$5:$A$24,0)),""))</f>
        <v/>
      </c>
      <c r="U122" s="25" t="str">
        <f aca="false">IF($C122="","",IFERROR(INDEX(Fournisseurs!$D$5:$D$24,MATCH($C122,Fournisseurs!$A$5:$A$24,0)),""))</f>
        <v/>
      </c>
      <c r="V122" s="26" t="str">
        <f aca="false">IF($C122="","",IFERROR(INDEX(Fournisseurs!$G$5:$G$24,MATCH($C122,Fournisseurs!$A$5:$A$24,0)),""))</f>
        <v/>
      </c>
      <c r="W122" s="18" t="str">
        <f aca="false">IF($C122="","",IFERROR(INDEX(Fournisseurs!$H$5:$H$24,MATCH($C122,Fournisseurs!$A$5:$A$24,0)),""))</f>
        <v/>
      </c>
      <c r="X122" s="18" t="str">
        <f aca="false">IF($C122="","",IFERROR(INDEX(Fournisseurs!$B$5:$B$24,MATCH($C122,Fournisseurs!$A$5:$A$24,0)),""))</f>
        <v/>
      </c>
      <c r="Y122" s="18" t="str">
        <f aca="false">IF($A122="","",IF(AND($A122&lt;&gt;"",$C122&lt;&gt;"",ISNUMBER($I122),ISNUMBER($J122),ISNUMBER($M122)),IF(AND($I122&gt;=1,$J122&gt;0,OR($K122="HT",$K122="TTC"),$M122&gt;=1,IFERROR(INDEX(Fournisseurs!$T$5:$T$24,MATCH($C122,Fournisseurs!$A$5:$A$24,0)),0)=1),1,0),0))</f>
        <v/>
      </c>
      <c r="Z122" s="27" t="str">
        <f aca="false">IF($Y122=1,$J122*(1-N($L122)),"")</f>
        <v/>
      </c>
      <c r="AA122" s="28" t="str">
        <f aca="false">IF($Y122=1,IF($K122="TTC",$Z122/(1+$V122),$Z122),"")</f>
        <v/>
      </c>
      <c r="AB122" s="28" t="str">
        <f aca="false">IF($Y122=1,IF($K122="TTC",$Z122-$AA122,$AA122*$V122),"")</f>
        <v/>
      </c>
      <c r="AC122" s="27" t="str">
        <f aca="false">IF($Y122=1,$AA122*$U122*$M122,"")</f>
        <v/>
      </c>
      <c r="AD122" s="26" t="str">
        <f aca="false">IF($Y122=1,$AC122/SUMIFS($AC$6:$AC$205,$C$6:$C$205,$C122,$Y$6:$Y$205,1),"")</f>
        <v/>
      </c>
      <c r="AE122" s="28" t="str">
        <f aca="false">IF($Y122=1,(INDEX(Fournisseurs!$J$5:$J$24,MATCH($C122,Fournisseurs!$A$5:$A$24,0))+INDEX(Fournisseurs!$K$5:$K$24,MATCH($C122,Fournisseurs!$A$5:$A$24,0)))*$U122*$AD122/($I122*$M122),"")</f>
        <v/>
      </c>
      <c r="AF122" s="28" t="str">
        <f aca="false">IF($Y122=1,INDEX(Fournisseurs!$L$5:$L$24,MATCH($C122,Fournisseurs!$A$5:$A$24,0))*$AD122/($I122*$M122),"")</f>
        <v/>
      </c>
      <c r="AG122" s="28" t="str">
        <f aca="false">IF($Y122=1,$AA122*$U122/$I122,"")</f>
        <v/>
      </c>
      <c r="AH122" s="28" t="str">
        <f aca="false">IF($Y122=1,$AB122*$U122/$I122,"")</f>
        <v/>
      </c>
      <c r="AI122" s="18" t="str">
        <f aca="false">IF($Y122=1,IF(AND(Paramètres!$B$4="EFFECTIVE",$W122="CH",$AB122&gt;0),1,0),"")</f>
        <v/>
      </c>
      <c r="AJ122" s="28" t="str">
        <f aca="false">IF($Y122=1,IF($X122&lt;&gt;"CH",($AG122+$AE122+$AF122)*Paramètres!$B$14,0),"")</f>
        <v/>
      </c>
      <c r="AK122" s="29" t="str">
        <f aca="false">IF($Y122=1,$AG122+IF($AI122=1,0,$AH122)+$AE122+$AF122+IF(Paramètres!$B$4="NOT_REGISTERED",$AJ122,0),"")</f>
        <v/>
      </c>
      <c r="AL122" s="27" t="str">
        <f aca="false">IF($Y122=1,($AK122+Paramètres!$B$7+Paramètres!$B$8+Paramètres!$B$9+Paramètres!$B$10)/((1-Paramètres!$B$11)/(1+Paramètres!$B$5)-Paramètres!$B$6),"")</f>
        <v/>
      </c>
      <c r="AM122" s="26" t="str">
        <f aca="false">IF(AND($Y122=1,ISNUMBER($R122)),IF($R122&gt;0,$AL122/$R122-1,""),"")</f>
        <v/>
      </c>
      <c r="AN122" s="27" t="str">
        <f aca="false">IF(AND($Y122=1,ISNUMBER($R122)),IF($R122&gt;0,$R122/(1+Paramètres!$B$5)-$AK122-($R122*Paramètres!$B$6+Paramètres!$B$7)-Paramètres!$B$8-Paramètres!$B$9-Paramètres!$B$10,""),"")</f>
        <v/>
      </c>
      <c r="AO122" s="26" t="str">
        <f aca="false">IF(ISNUMBER($AN122),$AN122/($R122/(1+Paramètres!$B$5)),"")</f>
        <v/>
      </c>
      <c r="AP122" s="30" t="str">
        <f aca="false">IF($A122="","",IF($Y122&lt;&gt;1,"INCOMPLET",IF(NOT(ISNUMBER($AM122)),"SANS RÉF. MARCHÉ",IF($AM122&lt;=Paramètres!$B$12,"OK",IF(AND($AO122&gt;=Paramètres!$B$15,$AN122&gt;=Paramètres!$B$16),"À REVOIR","NON RENTABLE")))))</f>
        <v/>
      </c>
      <c r="AQ122" s="18" t="str">
        <f aca="false">TRIM(IF(AND($Y122=1,ISNUMBER($N122)),IF($M122&lt;$N122,"MOQ ",""),"")&amp;IF(AND($Y122=1,ISNUMBER($O122)),IF($O122&lt;$I122*$M122,"DISPO ",""),"")&amp;IF($S122="O","FICTIF ","")&amp;IF($Y122=1,IF(AND($K122="TTC",$W122&lt;&gt;"CH"),"TVA-ÉTRANGÈRE ",""),""))</f>
        <v/>
      </c>
      <c r="AR122" s="18" t="str">
        <f aca="false">IF($Y122=1,COUNTIFS($A$6:$A$205,$A122,$AK$6:$AK$205,"&lt;"&amp;$AK122,$Y$6:$Y$205,1)+1,"")</f>
        <v/>
      </c>
      <c r="AS122" s="18" t="str">
        <f aca="false">IF(ISNUMBER($AR122),$A122&amp;"|"&amp;$AR122,"")</f>
        <v/>
      </c>
      <c r="AT122" s="27" t="str">
        <f aca="false">IF($Y122=1,$AK122*$I122*$M122,"")</f>
        <v/>
      </c>
    </row>
    <row r="123" customFormat="false" ht="15" hidden="false" customHeight="false" outlineLevel="0" collapsed="false">
      <c r="A123" s="9"/>
      <c r="B123" s="9"/>
      <c r="C123" s="9"/>
      <c r="D123" s="9"/>
      <c r="E123" s="9"/>
      <c r="F123" s="9"/>
      <c r="G123" s="9"/>
      <c r="H123" s="9"/>
      <c r="I123" s="9"/>
      <c r="J123" s="13"/>
      <c r="K123" s="9"/>
      <c r="L123" s="12"/>
      <c r="M123" s="9"/>
      <c r="N123" s="9"/>
      <c r="O123" s="9"/>
      <c r="P123" s="9"/>
      <c r="Q123" s="16"/>
      <c r="R123" s="13"/>
      <c r="S123" s="9"/>
      <c r="T123" s="18" t="str">
        <f aca="false">IF($C123="","",IFERROR(INDEX(Fournisseurs!$C$5:$C$24,MATCH($C123,Fournisseurs!$A$5:$A$24,0)),""))</f>
        <v/>
      </c>
      <c r="U123" s="25" t="str">
        <f aca="false">IF($C123="","",IFERROR(INDEX(Fournisseurs!$D$5:$D$24,MATCH($C123,Fournisseurs!$A$5:$A$24,0)),""))</f>
        <v/>
      </c>
      <c r="V123" s="26" t="str">
        <f aca="false">IF($C123="","",IFERROR(INDEX(Fournisseurs!$G$5:$G$24,MATCH($C123,Fournisseurs!$A$5:$A$24,0)),""))</f>
        <v/>
      </c>
      <c r="W123" s="18" t="str">
        <f aca="false">IF($C123="","",IFERROR(INDEX(Fournisseurs!$H$5:$H$24,MATCH($C123,Fournisseurs!$A$5:$A$24,0)),""))</f>
        <v/>
      </c>
      <c r="X123" s="18" t="str">
        <f aca="false">IF($C123="","",IFERROR(INDEX(Fournisseurs!$B$5:$B$24,MATCH($C123,Fournisseurs!$A$5:$A$24,0)),""))</f>
        <v/>
      </c>
      <c r="Y123" s="18" t="str">
        <f aca="false">IF($A123="","",IF(AND($A123&lt;&gt;"",$C123&lt;&gt;"",ISNUMBER($I123),ISNUMBER($J123),ISNUMBER($M123)),IF(AND($I123&gt;=1,$J123&gt;0,OR($K123="HT",$K123="TTC"),$M123&gt;=1,IFERROR(INDEX(Fournisseurs!$T$5:$T$24,MATCH($C123,Fournisseurs!$A$5:$A$24,0)),0)=1),1,0),0))</f>
        <v/>
      </c>
      <c r="Z123" s="27" t="str">
        <f aca="false">IF($Y123=1,$J123*(1-N($L123)),"")</f>
        <v/>
      </c>
      <c r="AA123" s="28" t="str">
        <f aca="false">IF($Y123=1,IF($K123="TTC",$Z123/(1+$V123),$Z123),"")</f>
        <v/>
      </c>
      <c r="AB123" s="28" t="str">
        <f aca="false">IF($Y123=1,IF($K123="TTC",$Z123-$AA123,$AA123*$V123),"")</f>
        <v/>
      </c>
      <c r="AC123" s="27" t="str">
        <f aca="false">IF($Y123=1,$AA123*$U123*$M123,"")</f>
        <v/>
      </c>
      <c r="AD123" s="26" t="str">
        <f aca="false">IF($Y123=1,$AC123/SUMIFS($AC$6:$AC$205,$C$6:$C$205,$C123,$Y$6:$Y$205,1),"")</f>
        <v/>
      </c>
      <c r="AE123" s="28" t="str">
        <f aca="false">IF($Y123=1,(INDEX(Fournisseurs!$J$5:$J$24,MATCH($C123,Fournisseurs!$A$5:$A$24,0))+INDEX(Fournisseurs!$K$5:$K$24,MATCH($C123,Fournisseurs!$A$5:$A$24,0)))*$U123*$AD123/($I123*$M123),"")</f>
        <v/>
      </c>
      <c r="AF123" s="28" t="str">
        <f aca="false">IF($Y123=1,INDEX(Fournisseurs!$L$5:$L$24,MATCH($C123,Fournisseurs!$A$5:$A$24,0))*$AD123/($I123*$M123),"")</f>
        <v/>
      </c>
      <c r="AG123" s="28" t="str">
        <f aca="false">IF($Y123=1,$AA123*$U123/$I123,"")</f>
        <v/>
      </c>
      <c r="AH123" s="28" t="str">
        <f aca="false">IF($Y123=1,$AB123*$U123/$I123,"")</f>
        <v/>
      </c>
      <c r="AI123" s="18" t="str">
        <f aca="false">IF($Y123=1,IF(AND(Paramètres!$B$4="EFFECTIVE",$W123="CH",$AB123&gt;0),1,0),"")</f>
        <v/>
      </c>
      <c r="AJ123" s="28" t="str">
        <f aca="false">IF($Y123=1,IF($X123&lt;&gt;"CH",($AG123+$AE123+$AF123)*Paramètres!$B$14,0),"")</f>
        <v/>
      </c>
      <c r="AK123" s="29" t="str">
        <f aca="false">IF($Y123=1,$AG123+IF($AI123=1,0,$AH123)+$AE123+$AF123+IF(Paramètres!$B$4="NOT_REGISTERED",$AJ123,0),"")</f>
        <v/>
      </c>
      <c r="AL123" s="27" t="str">
        <f aca="false">IF($Y123=1,($AK123+Paramètres!$B$7+Paramètres!$B$8+Paramètres!$B$9+Paramètres!$B$10)/((1-Paramètres!$B$11)/(1+Paramètres!$B$5)-Paramètres!$B$6),"")</f>
        <v/>
      </c>
      <c r="AM123" s="26" t="str">
        <f aca="false">IF(AND($Y123=1,ISNUMBER($R123)),IF($R123&gt;0,$AL123/$R123-1,""),"")</f>
        <v/>
      </c>
      <c r="AN123" s="27" t="str">
        <f aca="false">IF(AND($Y123=1,ISNUMBER($R123)),IF($R123&gt;0,$R123/(1+Paramètres!$B$5)-$AK123-($R123*Paramètres!$B$6+Paramètres!$B$7)-Paramètres!$B$8-Paramètres!$B$9-Paramètres!$B$10,""),"")</f>
        <v/>
      </c>
      <c r="AO123" s="26" t="str">
        <f aca="false">IF(ISNUMBER($AN123),$AN123/($R123/(1+Paramètres!$B$5)),"")</f>
        <v/>
      </c>
      <c r="AP123" s="30" t="str">
        <f aca="false">IF($A123="","",IF($Y123&lt;&gt;1,"INCOMPLET",IF(NOT(ISNUMBER($AM123)),"SANS RÉF. MARCHÉ",IF($AM123&lt;=Paramètres!$B$12,"OK",IF(AND($AO123&gt;=Paramètres!$B$15,$AN123&gt;=Paramètres!$B$16),"À REVOIR","NON RENTABLE")))))</f>
        <v/>
      </c>
      <c r="AQ123" s="18" t="str">
        <f aca="false">TRIM(IF(AND($Y123=1,ISNUMBER($N123)),IF($M123&lt;$N123,"MOQ ",""),"")&amp;IF(AND($Y123=1,ISNUMBER($O123)),IF($O123&lt;$I123*$M123,"DISPO ",""),"")&amp;IF($S123="O","FICTIF ","")&amp;IF($Y123=1,IF(AND($K123="TTC",$W123&lt;&gt;"CH"),"TVA-ÉTRANGÈRE ",""),""))</f>
        <v/>
      </c>
      <c r="AR123" s="18" t="str">
        <f aca="false">IF($Y123=1,COUNTIFS($A$6:$A$205,$A123,$AK$6:$AK$205,"&lt;"&amp;$AK123,$Y$6:$Y$205,1)+1,"")</f>
        <v/>
      </c>
      <c r="AS123" s="18" t="str">
        <f aca="false">IF(ISNUMBER($AR123),$A123&amp;"|"&amp;$AR123,"")</f>
        <v/>
      </c>
      <c r="AT123" s="27" t="str">
        <f aca="false">IF($Y123=1,$AK123*$I123*$M123,"")</f>
        <v/>
      </c>
    </row>
    <row r="124" customFormat="false" ht="15" hidden="false" customHeight="false" outlineLevel="0" collapsed="false">
      <c r="A124" s="9"/>
      <c r="B124" s="9"/>
      <c r="C124" s="9"/>
      <c r="D124" s="9"/>
      <c r="E124" s="9"/>
      <c r="F124" s="9"/>
      <c r="G124" s="9"/>
      <c r="H124" s="9"/>
      <c r="I124" s="9"/>
      <c r="J124" s="13"/>
      <c r="K124" s="9"/>
      <c r="L124" s="12"/>
      <c r="M124" s="9"/>
      <c r="N124" s="9"/>
      <c r="O124" s="9"/>
      <c r="P124" s="9"/>
      <c r="Q124" s="16"/>
      <c r="R124" s="13"/>
      <c r="S124" s="9"/>
      <c r="T124" s="18" t="str">
        <f aca="false">IF($C124="","",IFERROR(INDEX(Fournisseurs!$C$5:$C$24,MATCH($C124,Fournisseurs!$A$5:$A$24,0)),""))</f>
        <v/>
      </c>
      <c r="U124" s="25" t="str">
        <f aca="false">IF($C124="","",IFERROR(INDEX(Fournisseurs!$D$5:$D$24,MATCH($C124,Fournisseurs!$A$5:$A$24,0)),""))</f>
        <v/>
      </c>
      <c r="V124" s="26" t="str">
        <f aca="false">IF($C124="","",IFERROR(INDEX(Fournisseurs!$G$5:$G$24,MATCH($C124,Fournisseurs!$A$5:$A$24,0)),""))</f>
        <v/>
      </c>
      <c r="W124" s="18" t="str">
        <f aca="false">IF($C124="","",IFERROR(INDEX(Fournisseurs!$H$5:$H$24,MATCH($C124,Fournisseurs!$A$5:$A$24,0)),""))</f>
        <v/>
      </c>
      <c r="X124" s="18" t="str">
        <f aca="false">IF($C124="","",IFERROR(INDEX(Fournisseurs!$B$5:$B$24,MATCH($C124,Fournisseurs!$A$5:$A$24,0)),""))</f>
        <v/>
      </c>
      <c r="Y124" s="18" t="str">
        <f aca="false">IF($A124="","",IF(AND($A124&lt;&gt;"",$C124&lt;&gt;"",ISNUMBER($I124),ISNUMBER($J124),ISNUMBER($M124)),IF(AND($I124&gt;=1,$J124&gt;0,OR($K124="HT",$K124="TTC"),$M124&gt;=1,IFERROR(INDEX(Fournisseurs!$T$5:$T$24,MATCH($C124,Fournisseurs!$A$5:$A$24,0)),0)=1),1,0),0))</f>
        <v/>
      </c>
      <c r="Z124" s="27" t="str">
        <f aca="false">IF($Y124=1,$J124*(1-N($L124)),"")</f>
        <v/>
      </c>
      <c r="AA124" s="28" t="str">
        <f aca="false">IF($Y124=1,IF($K124="TTC",$Z124/(1+$V124),$Z124),"")</f>
        <v/>
      </c>
      <c r="AB124" s="28" t="str">
        <f aca="false">IF($Y124=1,IF($K124="TTC",$Z124-$AA124,$AA124*$V124),"")</f>
        <v/>
      </c>
      <c r="AC124" s="27" t="str">
        <f aca="false">IF($Y124=1,$AA124*$U124*$M124,"")</f>
        <v/>
      </c>
      <c r="AD124" s="26" t="str">
        <f aca="false">IF($Y124=1,$AC124/SUMIFS($AC$6:$AC$205,$C$6:$C$205,$C124,$Y$6:$Y$205,1),"")</f>
        <v/>
      </c>
      <c r="AE124" s="28" t="str">
        <f aca="false">IF($Y124=1,(INDEX(Fournisseurs!$J$5:$J$24,MATCH($C124,Fournisseurs!$A$5:$A$24,0))+INDEX(Fournisseurs!$K$5:$K$24,MATCH($C124,Fournisseurs!$A$5:$A$24,0)))*$U124*$AD124/($I124*$M124),"")</f>
        <v/>
      </c>
      <c r="AF124" s="28" t="str">
        <f aca="false">IF($Y124=1,INDEX(Fournisseurs!$L$5:$L$24,MATCH($C124,Fournisseurs!$A$5:$A$24,0))*$AD124/($I124*$M124),"")</f>
        <v/>
      </c>
      <c r="AG124" s="28" t="str">
        <f aca="false">IF($Y124=1,$AA124*$U124/$I124,"")</f>
        <v/>
      </c>
      <c r="AH124" s="28" t="str">
        <f aca="false">IF($Y124=1,$AB124*$U124/$I124,"")</f>
        <v/>
      </c>
      <c r="AI124" s="18" t="str">
        <f aca="false">IF($Y124=1,IF(AND(Paramètres!$B$4="EFFECTIVE",$W124="CH",$AB124&gt;0),1,0),"")</f>
        <v/>
      </c>
      <c r="AJ124" s="28" t="str">
        <f aca="false">IF($Y124=1,IF($X124&lt;&gt;"CH",($AG124+$AE124+$AF124)*Paramètres!$B$14,0),"")</f>
        <v/>
      </c>
      <c r="AK124" s="29" t="str">
        <f aca="false">IF($Y124=1,$AG124+IF($AI124=1,0,$AH124)+$AE124+$AF124+IF(Paramètres!$B$4="NOT_REGISTERED",$AJ124,0),"")</f>
        <v/>
      </c>
      <c r="AL124" s="27" t="str">
        <f aca="false">IF($Y124=1,($AK124+Paramètres!$B$7+Paramètres!$B$8+Paramètres!$B$9+Paramètres!$B$10)/((1-Paramètres!$B$11)/(1+Paramètres!$B$5)-Paramètres!$B$6),"")</f>
        <v/>
      </c>
      <c r="AM124" s="26" t="str">
        <f aca="false">IF(AND($Y124=1,ISNUMBER($R124)),IF($R124&gt;0,$AL124/$R124-1,""),"")</f>
        <v/>
      </c>
      <c r="AN124" s="27" t="str">
        <f aca="false">IF(AND($Y124=1,ISNUMBER($R124)),IF($R124&gt;0,$R124/(1+Paramètres!$B$5)-$AK124-($R124*Paramètres!$B$6+Paramètres!$B$7)-Paramètres!$B$8-Paramètres!$B$9-Paramètres!$B$10,""),"")</f>
        <v/>
      </c>
      <c r="AO124" s="26" t="str">
        <f aca="false">IF(ISNUMBER($AN124),$AN124/($R124/(1+Paramètres!$B$5)),"")</f>
        <v/>
      </c>
      <c r="AP124" s="30" t="str">
        <f aca="false">IF($A124="","",IF($Y124&lt;&gt;1,"INCOMPLET",IF(NOT(ISNUMBER($AM124)),"SANS RÉF. MARCHÉ",IF($AM124&lt;=Paramètres!$B$12,"OK",IF(AND($AO124&gt;=Paramètres!$B$15,$AN124&gt;=Paramètres!$B$16),"À REVOIR","NON RENTABLE")))))</f>
        <v/>
      </c>
      <c r="AQ124" s="18" t="str">
        <f aca="false">TRIM(IF(AND($Y124=1,ISNUMBER($N124)),IF($M124&lt;$N124,"MOQ ",""),"")&amp;IF(AND($Y124=1,ISNUMBER($O124)),IF($O124&lt;$I124*$M124,"DISPO ",""),"")&amp;IF($S124="O","FICTIF ","")&amp;IF($Y124=1,IF(AND($K124="TTC",$W124&lt;&gt;"CH"),"TVA-ÉTRANGÈRE ",""),""))</f>
        <v/>
      </c>
      <c r="AR124" s="18" t="str">
        <f aca="false">IF($Y124=1,COUNTIFS($A$6:$A$205,$A124,$AK$6:$AK$205,"&lt;"&amp;$AK124,$Y$6:$Y$205,1)+1,"")</f>
        <v/>
      </c>
      <c r="AS124" s="18" t="str">
        <f aca="false">IF(ISNUMBER($AR124),$A124&amp;"|"&amp;$AR124,"")</f>
        <v/>
      </c>
      <c r="AT124" s="27" t="str">
        <f aca="false">IF($Y124=1,$AK124*$I124*$M124,"")</f>
        <v/>
      </c>
    </row>
    <row r="125" customFormat="false" ht="15" hidden="false" customHeight="false" outlineLevel="0" collapsed="false">
      <c r="A125" s="9"/>
      <c r="B125" s="9"/>
      <c r="C125" s="9"/>
      <c r="D125" s="9"/>
      <c r="E125" s="9"/>
      <c r="F125" s="9"/>
      <c r="G125" s="9"/>
      <c r="H125" s="9"/>
      <c r="I125" s="9"/>
      <c r="J125" s="13"/>
      <c r="K125" s="9"/>
      <c r="L125" s="12"/>
      <c r="M125" s="9"/>
      <c r="N125" s="9"/>
      <c r="O125" s="9"/>
      <c r="P125" s="9"/>
      <c r="Q125" s="16"/>
      <c r="R125" s="13"/>
      <c r="S125" s="9"/>
      <c r="T125" s="18" t="str">
        <f aca="false">IF($C125="","",IFERROR(INDEX(Fournisseurs!$C$5:$C$24,MATCH($C125,Fournisseurs!$A$5:$A$24,0)),""))</f>
        <v/>
      </c>
      <c r="U125" s="25" t="str">
        <f aca="false">IF($C125="","",IFERROR(INDEX(Fournisseurs!$D$5:$D$24,MATCH($C125,Fournisseurs!$A$5:$A$24,0)),""))</f>
        <v/>
      </c>
      <c r="V125" s="26" t="str">
        <f aca="false">IF($C125="","",IFERROR(INDEX(Fournisseurs!$G$5:$G$24,MATCH($C125,Fournisseurs!$A$5:$A$24,0)),""))</f>
        <v/>
      </c>
      <c r="W125" s="18" t="str">
        <f aca="false">IF($C125="","",IFERROR(INDEX(Fournisseurs!$H$5:$H$24,MATCH($C125,Fournisseurs!$A$5:$A$24,0)),""))</f>
        <v/>
      </c>
      <c r="X125" s="18" t="str">
        <f aca="false">IF($C125="","",IFERROR(INDEX(Fournisseurs!$B$5:$B$24,MATCH($C125,Fournisseurs!$A$5:$A$24,0)),""))</f>
        <v/>
      </c>
      <c r="Y125" s="18" t="str">
        <f aca="false">IF($A125="","",IF(AND($A125&lt;&gt;"",$C125&lt;&gt;"",ISNUMBER($I125),ISNUMBER($J125),ISNUMBER($M125)),IF(AND($I125&gt;=1,$J125&gt;0,OR($K125="HT",$K125="TTC"),$M125&gt;=1,IFERROR(INDEX(Fournisseurs!$T$5:$T$24,MATCH($C125,Fournisseurs!$A$5:$A$24,0)),0)=1),1,0),0))</f>
        <v/>
      </c>
      <c r="Z125" s="27" t="str">
        <f aca="false">IF($Y125=1,$J125*(1-N($L125)),"")</f>
        <v/>
      </c>
      <c r="AA125" s="28" t="str">
        <f aca="false">IF($Y125=1,IF($K125="TTC",$Z125/(1+$V125),$Z125),"")</f>
        <v/>
      </c>
      <c r="AB125" s="28" t="str">
        <f aca="false">IF($Y125=1,IF($K125="TTC",$Z125-$AA125,$AA125*$V125),"")</f>
        <v/>
      </c>
      <c r="AC125" s="27" t="str">
        <f aca="false">IF($Y125=1,$AA125*$U125*$M125,"")</f>
        <v/>
      </c>
      <c r="AD125" s="26" t="str">
        <f aca="false">IF($Y125=1,$AC125/SUMIFS($AC$6:$AC$205,$C$6:$C$205,$C125,$Y$6:$Y$205,1),"")</f>
        <v/>
      </c>
      <c r="AE125" s="28" t="str">
        <f aca="false">IF($Y125=1,(INDEX(Fournisseurs!$J$5:$J$24,MATCH($C125,Fournisseurs!$A$5:$A$24,0))+INDEX(Fournisseurs!$K$5:$K$24,MATCH($C125,Fournisseurs!$A$5:$A$24,0)))*$U125*$AD125/($I125*$M125),"")</f>
        <v/>
      </c>
      <c r="AF125" s="28" t="str">
        <f aca="false">IF($Y125=1,INDEX(Fournisseurs!$L$5:$L$24,MATCH($C125,Fournisseurs!$A$5:$A$24,0))*$AD125/($I125*$M125),"")</f>
        <v/>
      </c>
      <c r="AG125" s="28" t="str">
        <f aca="false">IF($Y125=1,$AA125*$U125/$I125,"")</f>
        <v/>
      </c>
      <c r="AH125" s="28" t="str">
        <f aca="false">IF($Y125=1,$AB125*$U125/$I125,"")</f>
        <v/>
      </c>
      <c r="AI125" s="18" t="str">
        <f aca="false">IF($Y125=1,IF(AND(Paramètres!$B$4="EFFECTIVE",$W125="CH",$AB125&gt;0),1,0),"")</f>
        <v/>
      </c>
      <c r="AJ125" s="28" t="str">
        <f aca="false">IF($Y125=1,IF($X125&lt;&gt;"CH",($AG125+$AE125+$AF125)*Paramètres!$B$14,0),"")</f>
        <v/>
      </c>
      <c r="AK125" s="29" t="str">
        <f aca="false">IF($Y125=1,$AG125+IF($AI125=1,0,$AH125)+$AE125+$AF125+IF(Paramètres!$B$4="NOT_REGISTERED",$AJ125,0),"")</f>
        <v/>
      </c>
      <c r="AL125" s="27" t="str">
        <f aca="false">IF($Y125=1,($AK125+Paramètres!$B$7+Paramètres!$B$8+Paramètres!$B$9+Paramètres!$B$10)/((1-Paramètres!$B$11)/(1+Paramètres!$B$5)-Paramètres!$B$6),"")</f>
        <v/>
      </c>
      <c r="AM125" s="26" t="str">
        <f aca="false">IF(AND($Y125=1,ISNUMBER($R125)),IF($R125&gt;0,$AL125/$R125-1,""),"")</f>
        <v/>
      </c>
      <c r="AN125" s="27" t="str">
        <f aca="false">IF(AND($Y125=1,ISNUMBER($R125)),IF($R125&gt;0,$R125/(1+Paramètres!$B$5)-$AK125-($R125*Paramètres!$B$6+Paramètres!$B$7)-Paramètres!$B$8-Paramètres!$B$9-Paramètres!$B$10,""),"")</f>
        <v/>
      </c>
      <c r="AO125" s="26" t="str">
        <f aca="false">IF(ISNUMBER($AN125),$AN125/($R125/(1+Paramètres!$B$5)),"")</f>
        <v/>
      </c>
      <c r="AP125" s="30" t="str">
        <f aca="false">IF($A125="","",IF($Y125&lt;&gt;1,"INCOMPLET",IF(NOT(ISNUMBER($AM125)),"SANS RÉF. MARCHÉ",IF($AM125&lt;=Paramètres!$B$12,"OK",IF(AND($AO125&gt;=Paramètres!$B$15,$AN125&gt;=Paramètres!$B$16),"À REVOIR","NON RENTABLE")))))</f>
        <v/>
      </c>
      <c r="AQ125" s="18" t="str">
        <f aca="false">TRIM(IF(AND($Y125=1,ISNUMBER($N125)),IF($M125&lt;$N125,"MOQ ",""),"")&amp;IF(AND($Y125=1,ISNUMBER($O125)),IF($O125&lt;$I125*$M125,"DISPO ",""),"")&amp;IF($S125="O","FICTIF ","")&amp;IF($Y125=1,IF(AND($K125="TTC",$W125&lt;&gt;"CH"),"TVA-ÉTRANGÈRE ",""),""))</f>
        <v/>
      </c>
      <c r="AR125" s="18" t="str">
        <f aca="false">IF($Y125=1,COUNTIFS($A$6:$A$205,$A125,$AK$6:$AK$205,"&lt;"&amp;$AK125,$Y$6:$Y$205,1)+1,"")</f>
        <v/>
      </c>
      <c r="AS125" s="18" t="str">
        <f aca="false">IF(ISNUMBER($AR125),$A125&amp;"|"&amp;$AR125,"")</f>
        <v/>
      </c>
      <c r="AT125" s="27" t="str">
        <f aca="false">IF($Y125=1,$AK125*$I125*$M125,"")</f>
        <v/>
      </c>
    </row>
    <row r="126" customFormat="false" ht="15" hidden="false" customHeight="false" outlineLevel="0" collapsed="false">
      <c r="A126" s="9"/>
      <c r="B126" s="9"/>
      <c r="C126" s="9"/>
      <c r="D126" s="9"/>
      <c r="E126" s="9"/>
      <c r="F126" s="9"/>
      <c r="G126" s="9"/>
      <c r="H126" s="9"/>
      <c r="I126" s="9"/>
      <c r="J126" s="13"/>
      <c r="K126" s="9"/>
      <c r="L126" s="12"/>
      <c r="M126" s="9"/>
      <c r="N126" s="9"/>
      <c r="O126" s="9"/>
      <c r="P126" s="9"/>
      <c r="Q126" s="16"/>
      <c r="R126" s="13"/>
      <c r="S126" s="9"/>
      <c r="T126" s="18" t="str">
        <f aca="false">IF($C126="","",IFERROR(INDEX(Fournisseurs!$C$5:$C$24,MATCH($C126,Fournisseurs!$A$5:$A$24,0)),""))</f>
        <v/>
      </c>
      <c r="U126" s="25" t="str">
        <f aca="false">IF($C126="","",IFERROR(INDEX(Fournisseurs!$D$5:$D$24,MATCH($C126,Fournisseurs!$A$5:$A$24,0)),""))</f>
        <v/>
      </c>
      <c r="V126" s="26" t="str">
        <f aca="false">IF($C126="","",IFERROR(INDEX(Fournisseurs!$G$5:$G$24,MATCH($C126,Fournisseurs!$A$5:$A$24,0)),""))</f>
        <v/>
      </c>
      <c r="W126" s="18" t="str">
        <f aca="false">IF($C126="","",IFERROR(INDEX(Fournisseurs!$H$5:$H$24,MATCH($C126,Fournisseurs!$A$5:$A$24,0)),""))</f>
        <v/>
      </c>
      <c r="X126" s="18" t="str">
        <f aca="false">IF($C126="","",IFERROR(INDEX(Fournisseurs!$B$5:$B$24,MATCH($C126,Fournisseurs!$A$5:$A$24,0)),""))</f>
        <v/>
      </c>
      <c r="Y126" s="18" t="str">
        <f aca="false">IF($A126="","",IF(AND($A126&lt;&gt;"",$C126&lt;&gt;"",ISNUMBER($I126),ISNUMBER($J126),ISNUMBER($M126)),IF(AND($I126&gt;=1,$J126&gt;0,OR($K126="HT",$K126="TTC"),$M126&gt;=1,IFERROR(INDEX(Fournisseurs!$T$5:$T$24,MATCH($C126,Fournisseurs!$A$5:$A$24,0)),0)=1),1,0),0))</f>
        <v/>
      </c>
      <c r="Z126" s="27" t="str">
        <f aca="false">IF($Y126=1,$J126*(1-N($L126)),"")</f>
        <v/>
      </c>
      <c r="AA126" s="28" t="str">
        <f aca="false">IF($Y126=1,IF($K126="TTC",$Z126/(1+$V126),$Z126),"")</f>
        <v/>
      </c>
      <c r="AB126" s="28" t="str">
        <f aca="false">IF($Y126=1,IF($K126="TTC",$Z126-$AA126,$AA126*$V126),"")</f>
        <v/>
      </c>
      <c r="AC126" s="27" t="str">
        <f aca="false">IF($Y126=1,$AA126*$U126*$M126,"")</f>
        <v/>
      </c>
      <c r="AD126" s="26" t="str">
        <f aca="false">IF($Y126=1,$AC126/SUMIFS($AC$6:$AC$205,$C$6:$C$205,$C126,$Y$6:$Y$205,1),"")</f>
        <v/>
      </c>
      <c r="AE126" s="28" t="str">
        <f aca="false">IF($Y126=1,(INDEX(Fournisseurs!$J$5:$J$24,MATCH($C126,Fournisseurs!$A$5:$A$24,0))+INDEX(Fournisseurs!$K$5:$K$24,MATCH($C126,Fournisseurs!$A$5:$A$24,0)))*$U126*$AD126/($I126*$M126),"")</f>
        <v/>
      </c>
      <c r="AF126" s="28" t="str">
        <f aca="false">IF($Y126=1,INDEX(Fournisseurs!$L$5:$L$24,MATCH($C126,Fournisseurs!$A$5:$A$24,0))*$AD126/($I126*$M126),"")</f>
        <v/>
      </c>
      <c r="AG126" s="28" t="str">
        <f aca="false">IF($Y126=1,$AA126*$U126/$I126,"")</f>
        <v/>
      </c>
      <c r="AH126" s="28" t="str">
        <f aca="false">IF($Y126=1,$AB126*$U126/$I126,"")</f>
        <v/>
      </c>
      <c r="AI126" s="18" t="str">
        <f aca="false">IF($Y126=1,IF(AND(Paramètres!$B$4="EFFECTIVE",$W126="CH",$AB126&gt;0),1,0),"")</f>
        <v/>
      </c>
      <c r="AJ126" s="28" t="str">
        <f aca="false">IF($Y126=1,IF($X126&lt;&gt;"CH",($AG126+$AE126+$AF126)*Paramètres!$B$14,0),"")</f>
        <v/>
      </c>
      <c r="AK126" s="29" t="str">
        <f aca="false">IF($Y126=1,$AG126+IF($AI126=1,0,$AH126)+$AE126+$AF126+IF(Paramètres!$B$4="NOT_REGISTERED",$AJ126,0),"")</f>
        <v/>
      </c>
      <c r="AL126" s="27" t="str">
        <f aca="false">IF($Y126=1,($AK126+Paramètres!$B$7+Paramètres!$B$8+Paramètres!$B$9+Paramètres!$B$10)/((1-Paramètres!$B$11)/(1+Paramètres!$B$5)-Paramètres!$B$6),"")</f>
        <v/>
      </c>
      <c r="AM126" s="26" t="str">
        <f aca="false">IF(AND($Y126=1,ISNUMBER($R126)),IF($R126&gt;0,$AL126/$R126-1,""),"")</f>
        <v/>
      </c>
      <c r="AN126" s="27" t="str">
        <f aca="false">IF(AND($Y126=1,ISNUMBER($R126)),IF($R126&gt;0,$R126/(1+Paramètres!$B$5)-$AK126-($R126*Paramètres!$B$6+Paramètres!$B$7)-Paramètres!$B$8-Paramètres!$B$9-Paramètres!$B$10,""),"")</f>
        <v/>
      </c>
      <c r="AO126" s="26" t="str">
        <f aca="false">IF(ISNUMBER($AN126),$AN126/($R126/(1+Paramètres!$B$5)),"")</f>
        <v/>
      </c>
      <c r="AP126" s="30" t="str">
        <f aca="false">IF($A126="","",IF($Y126&lt;&gt;1,"INCOMPLET",IF(NOT(ISNUMBER($AM126)),"SANS RÉF. MARCHÉ",IF($AM126&lt;=Paramètres!$B$12,"OK",IF(AND($AO126&gt;=Paramètres!$B$15,$AN126&gt;=Paramètres!$B$16),"À REVOIR","NON RENTABLE")))))</f>
        <v/>
      </c>
      <c r="AQ126" s="18" t="str">
        <f aca="false">TRIM(IF(AND($Y126=1,ISNUMBER($N126)),IF($M126&lt;$N126,"MOQ ",""),"")&amp;IF(AND($Y126=1,ISNUMBER($O126)),IF($O126&lt;$I126*$M126,"DISPO ",""),"")&amp;IF($S126="O","FICTIF ","")&amp;IF($Y126=1,IF(AND($K126="TTC",$W126&lt;&gt;"CH"),"TVA-ÉTRANGÈRE ",""),""))</f>
        <v/>
      </c>
      <c r="AR126" s="18" t="str">
        <f aca="false">IF($Y126=1,COUNTIFS($A$6:$A$205,$A126,$AK$6:$AK$205,"&lt;"&amp;$AK126,$Y$6:$Y$205,1)+1,"")</f>
        <v/>
      </c>
      <c r="AS126" s="18" t="str">
        <f aca="false">IF(ISNUMBER($AR126),$A126&amp;"|"&amp;$AR126,"")</f>
        <v/>
      </c>
      <c r="AT126" s="27" t="str">
        <f aca="false">IF($Y126=1,$AK126*$I126*$M126,"")</f>
        <v/>
      </c>
    </row>
    <row r="127" customFormat="false" ht="15" hidden="false" customHeight="false" outlineLevel="0" collapsed="false">
      <c r="A127" s="9"/>
      <c r="B127" s="9"/>
      <c r="C127" s="9"/>
      <c r="D127" s="9"/>
      <c r="E127" s="9"/>
      <c r="F127" s="9"/>
      <c r="G127" s="9"/>
      <c r="H127" s="9"/>
      <c r="I127" s="9"/>
      <c r="J127" s="13"/>
      <c r="K127" s="9"/>
      <c r="L127" s="12"/>
      <c r="M127" s="9"/>
      <c r="N127" s="9"/>
      <c r="O127" s="9"/>
      <c r="P127" s="9"/>
      <c r="Q127" s="16"/>
      <c r="R127" s="13"/>
      <c r="S127" s="9"/>
      <c r="T127" s="18" t="str">
        <f aca="false">IF($C127="","",IFERROR(INDEX(Fournisseurs!$C$5:$C$24,MATCH($C127,Fournisseurs!$A$5:$A$24,0)),""))</f>
        <v/>
      </c>
      <c r="U127" s="25" t="str">
        <f aca="false">IF($C127="","",IFERROR(INDEX(Fournisseurs!$D$5:$D$24,MATCH($C127,Fournisseurs!$A$5:$A$24,0)),""))</f>
        <v/>
      </c>
      <c r="V127" s="26" t="str">
        <f aca="false">IF($C127="","",IFERROR(INDEX(Fournisseurs!$G$5:$G$24,MATCH($C127,Fournisseurs!$A$5:$A$24,0)),""))</f>
        <v/>
      </c>
      <c r="W127" s="18" t="str">
        <f aca="false">IF($C127="","",IFERROR(INDEX(Fournisseurs!$H$5:$H$24,MATCH($C127,Fournisseurs!$A$5:$A$24,0)),""))</f>
        <v/>
      </c>
      <c r="X127" s="18" t="str">
        <f aca="false">IF($C127="","",IFERROR(INDEX(Fournisseurs!$B$5:$B$24,MATCH($C127,Fournisseurs!$A$5:$A$24,0)),""))</f>
        <v/>
      </c>
      <c r="Y127" s="18" t="str">
        <f aca="false">IF($A127="","",IF(AND($A127&lt;&gt;"",$C127&lt;&gt;"",ISNUMBER($I127),ISNUMBER($J127),ISNUMBER($M127)),IF(AND($I127&gt;=1,$J127&gt;0,OR($K127="HT",$K127="TTC"),$M127&gt;=1,IFERROR(INDEX(Fournisseurs!$T$5:$T$24,MATCH($C127,Fournisseurs!$A$5:$A$24,0)),0)=1),1,0),0))</f>
        <v/>
      </c>
      <c r="Z127" s="27" t="str">
        <f aca="false">IF($Y127=1,$J127*(1-N($L127)),"")</f>
        <v/>
      </c>
      <c r="AA127" s="28" t="str">
        <f aca="false">IF($Y127=1,IF($K127="TTC",$Z127/(1+$V127),$Z127),"")</f>
        <v/>
      </c>
      <c r="AB127" s="28" t="str">
        <f aca="false">IF($Y127=1,IF($K127="TTC",$Z127-$AA127,$AA127*$V127),"")</f>
        <v/>
      </c>
      <c r="AC127" s="27" t="str">
        <f aca="false">IF($Y127=1,$AA127*$U127*$M127,"")</f>
        <v/>
      </c>
      <c r="AD127" s="26" t="str">
        <f aca="false">IF($Y127=1,$AC127/SUMIFS($AC$6:$AC$205,$C$6:$C$205,$C127,$Y$6:$Y$205,1),"")</f>
        <v/>
      </c>
      <c r="AE127" s="28" t="str">
        <f aca="false">IF($Y127=1,(INDEX(Fournisseurs!$J$5:$J$24,MATCH($C127,Fournisseurs!$A$5:$A$24,0))+INDEX(Fournisseurs!$K$5:$K$24,MATCH($C127,Fournisseurs!$A$5:$A$24,0)))*$U127*$AD127/($I127*$M127),"")</f>
        <v/>
      </c>
      <c r="AF127" s="28" t="str">
        <f aca="false">IF($Y127=1,INDEX(Fournisseurs!$L$5:$L$24,MATCH($C127,Fournisseurs!$A$5:$A$24,0))*$AD127/($I127*$M127),"")</f>
        <v/>
      </c>
      <c r="AG127" s="28" t="str">
        <f aca="false">IF($Y127=1,$AA127*$U127/$I127,"")</f>
        <v/>
      </c>
      <c r="AH127" s="28" t="str">
        <f aca="false">IF($Y127=1,$AB127*$U127/$I127,"")</f>
        <v/>
      </c>
      <c r="AI127" s="18" t="str">
        <f aca="false">IF($Y127=1,IF(AND(Paramètres!$B$4="EFFECTIVE",$W127="CH",$AB127&gt;0),1,0),"")</f>
        <v/>
      </c>
      <c r="AJ127" s="28" t="str">
        <f aca="false">IF($Y127=1,IF($X127&lt;&gt;"CH",($AG127+$AE127+$AF127)*Paramètres!$B$14,0),"")</f>
        <v/>
      </c>
      <c r="AK127" s="29" t="str">
        <f aca="false">IF($Y127=1,$AG127+IF($AI127=1,0,$AH127)+$AE127+$AF127+IF(Paramètres!$B$4="NOT_REGISTERED",$AJ127,0),"")</f>
        <v/>
      </c>
      <c r="AL127" s="27" t="str">
        <f aca="false">IF($Y127=1,($AK127+Paramètres!$B$7+Paramètres!$B$8+Paramètres!$B$9+Paramètres!$B$10)/((1-Paramètres!$B$11)/(1+Paramètres!$B$5)-Paramètres!$B$6),"")</f>
        <v/>
      </c>
      <c r="AM127" s="26" t="str">
        <f aca="false">IF(AND($Y127=1,ISNUMBER($R127)),IF($R127&gt;0,$AL127/$R127-1,""),"")</f>
        <v/>
      </c>
      <c r="AN127" s="27" t="str">
        <f aca="false">IF(AND($Y127=1,ISNUMBER($R127)),IF($R127&gt;0,$R127/(1+Paramètres!$B$5)-$AK127-($R127*Paramètres!$B$6+Paramètres!$B$7)-Paramètres!$B$8-Paramètres!$B$9-Paramètres!$B$10,""),"")</f>
        <v/>
      </c>
      <c r="AO127" s="26" t="str">
        <f aca="false">IF(ISNUMBER($AN127),$AN127/($R127/(1+Paramètres!$B$5)),"")</f>
        <v/>
      </c>
      <c r="AP127" s="30" t="str">
        <f aca="false">IF($A127="","",IF($Y127&lt;&gt;1,"INCOMPLET",IF(NOT(ISNUMBER($AM127)),"SANS RÉF. MARCHÉ",IF($AM127&lt;=Paramètres!$B$12,"OK",IF(AND($AO127&gt;=Paramètres!$B$15,$AN127&gt;=Paramètres!$B$16),"À REVOIR","NON RENTABLE")))))</f>
        <v/>
      </c>
      <c r="AQ127" s="18" t="str">
        <f aca="false">TRIM(IF(AND($Y127=1,ISNUMBER($N127)),IF($M127&lt;$N127,"MOQ ",""),"")&amp;IF(AND($Y127=1,ISNUMBER($O127)),IF($O127&lt;$I127*$M127,"DISPO ",""),"")&amp;IF($S127="O","FICTIF ","")&amp;IF($Y127=1,IF(AND($K127="TTC",$W127&lt;&gt;"CH"),"TVA-ÉTRANGÈRE ",""),""))</f>
        <v/>
      </c>
      <c r="AR127" s="18" t="str">
        <f aca="false">IF($Y127=1,COUNTIFS($A$6:$A$205,$A127,$AK$6:$AK$205,"&lt;"&amp;$AK127,$Y$6:$Y$205,1)+1,"")</f>
        <v/>
      </c>
      <c r="AS127" s="18" t="str">
        <f aca="false">IF(ISNUMBER($AR127),$A127&amp;"|"&amp;$AR127,"")</f>
        <v/>
      </c>
      <c r="AT127" s="27" t="str">
        <f aca="false">IF($Y127=1,$AK127*$I127*$M127,"")</f>
        <v/>
      </c>
    </row>
    <row r="128" customFormat="false" ht="15" hidden="false" customHeight="false" outlineLevel="0" collapsed="false">
      <c r="A128" s="9"/>
      <c r="B128" s="9"/>
      <c r="C128" s="9"/>
      <c r="D128" s="9"/>
      <c r="E128" s="9"/>
      <c r="F128" s="9"/>
      <c r="G128" s="9"/>
      <c r="H128" s="9"/>
      <c r="I128" s="9"/>
      <c r="J128" s="13"/>
      <c r="K128" s="9"/>
      <c r="L128" s="12"/>
      <c r="M128" s="9"/>
      <c r="N128" s="9"/>
      <c r="O128" s="9"/>
      <c r="P128" s="9"/>
      <c r="Q128" s="16"/>
      <c r="R128" s="13"/>
      <c r="S128" s="9"/>
      <c r="T128" s="18" t="str">
        <f aca="false">IF($C128="","",IFERROR(INDEX(Fournisseurs!$C$5:$C$24,MATCH($C128,Fournisseurs!$A$5:$A$24,0)),""))</f>
        <v/>
      </c>
      <c r="U128" s="25" t="str">
        <f aca="false">IF($C128="","",IFERROR(INDEX(Fournisseurs!$D$5:$D$24,MATCH($C128,Fournisseurs!$A$5:$A$24,0)),""))</f>
        <v/>
      </c>
      <c r="V128" s="26" t="str">
        <f aca="false">IF($C128="","",IFERROR(INDEX(Fournisseurs!$G$5:$G$24,MATCH($C128,Fournisseurs!$A$5:$A$24,0)),""))</f>
        <v/>
      </c>
      <c r="W128" s="18" t="str">
        <f aca="false">IF($C128="","",IFERROR(INDEX(Fournisseurs!$H$5:$H$24,MATCH($C128,Fournisseurs!$A$5:$A$24,0)),""))</f>
        <v/>
      </c>
      <c r="X128" s="18" t="str">
        <f aca="false">IF($C128="","",IFERROR(INDEX(Fournisseurs!$B$5:$B$24,MATCH($C128,Fournisseurs!$A$5:$A$24,0)),""))</f>
        <v/>
      </c>
      <c r="Y128" s="18" t="str">
        <f aca="false">IF($A128="","",IF(AND($A128&lt;&gt;"",$C128&lt;&gt;"",ISNUMBER($I128),ISNUMBER($J128),ISNUMBER($M128)),IF(AND($I128&gt;=1,$J128&gt;0,OR($K128="HT",$K128="TTC"),$M128&gt;=1,IFERROR(INDEX(Fournisseurs!$T$5:$T$24,MATCH($C128,Fournisseurs!$A$5:$A$24,0)),0)=1),1,0),0))</f>
        <v/>
      </c>
      <c r="Z128" s="27" t="str">
        <f aca="false">IF($Y128=1,$J128*(1-N($L128)),"")</f>
        <v/>
      </c>
      <c r="AA128" s="28" t="str">
        <f aca="false">IF($Y128=1,IF($K128="TTC",$Z128/(1+$V128),$Z128),"")</f>
        <v/>
      </c>
      <c r="AB128" s="28" t="str">
        <f aca="false">IF($Y128=1,IF($K128="TTC",$Z128-$AA128,$AA128*$V128),"")</f>
        <v/>
      </c>
      <c r="AC128" s="27" t="str">
        <f aca="false">IF($Y128=1,$AA128*$U128*$M128,"")</f>
        <v/>
      </c>
      <c r="AD128" s="26" t="str">
        <f aca="false">IF($Y128=1,$AC128/SUMIFS($AC$6:$AC$205,$C$6:$C$205,$C128,$Y$6:$Y$205,1),"")</f>
        <v/>
      </c>
      <c r="AE128" s="28" t="str">
        <f aca="false">IF($Y128=1,(INDEX(Fournisseurs!$J$5:$J$24,MATCH($C128,Fournisseurs!$A$5:$A$24,0))+INDEX(Fournisseurs!$K$5:$K$24,MATCH($C128,Fournisseurs!$A$5:$A$24,0)))*$U128*$AD128/($I128*$M128),"")</f>
        <v/>
      </c>
      <c r="AF128" s="28" t="str">
        <f aca="false">IF($Y128=1,INDEX(Fournisseurs!$L$5:$L$24,MATCH($C128,Fournisseurs!$A$5:$A$24,0))*$AD128/($I128*$M128),"")</f>
        <v/>
      </c>
      <c r="AG128" s="28" t="str">
        <f aca="false">IF($Y128=1,$AA128*$U128/$I128,"")</f>
        <v/>
      </c>
      <c r="AH128" s="28" t="str">
        <f aca="false">IF($Y128=1,$AB128*$U128/$I128,"")</f>
        <v/>
      </c>
      <c r="AI128" s="18" t="str">
        <f aca="false">IF($Y128=1,IF(AND(Paramètres!$B$4="EFFECTIVE",$W128="CH",$AB128&gt;0),1,0),"")</f>
        <v/>
      </c>
      <c r="AJ128" s="28" t="str">
        <f aca="false">IF($Y128=1,IF($X128&lt;&gt;"CH",($AG128+$AE128+$AF128)*Paramètres!$B$14,0),"")</f>
        <v/>
      </c>
      <c r="AK128" s="29" t="str">
        <f aca="false">IF($Y128=1,$AG128+IF($AI128=1,0,$AH128)+$AE128+$AF128+IF(Paramètres!$B$4="NOT_REGISTERED",$AJ128,0),"")</f>
        <v/>
      </c>
      <c r="AL128" s="27" t="str">
        <f aca="false">IF($Y128=1,($AK128+Paramètres!$B$7+Paramètres!$B$8+Paramètres!$B$9+Paramètres!$B$10)/((1-Paramètres!$B$11)/(1+Paramètres!$B$5)-Paramètres!$B$6),"")</f>
        <v/>
      </c>
      <c r="AM128" s="26" t="str">
        <f aca="false">IF(AND($Y128=1,ISNUMBER($R128)),IF($R128&gt;0,$AL128/$R128-1,""),"")</f>
        <v/>
      </c>
      <c r="AN128" s="27" t="str">
        <f aca="false">IF(AND($Y128=1,ISNUMBER($R128)),IF($R128&gt;0,$R128/(1+Paramètres!$B$5)-$AK128-($R128*Paramètres!$B$6+Paramètres!$B$7)-Paramètres!$B$8-Paramètres!$B$9-Paramètres!$B$10,""),"")</f>
        <v/>
      </c>
      <c r="AO128" s="26" t="str">
        <f aca="false">IF(ISNUMBER($AN128),$AN128/($R128/(1+Paramètres!$B$5)),"")</f>
        <v/>
      </c>
      <c r="AP128" s="30" t="str">
        <f aca="false">IF($A128="","",IF($Y128&lt;&gt;1,"INCOMPLET",IF(NOT(ISNUMBER($AM128)),"SANS RÉF. MARCHÉ",IF($AM128&lt;=Paramètres!$B$12,"OK",IF(AND($AO128&gt;=Paramètres!$B$15,$AN128&gt;=Paramètres!$B$16),"À REVOIR","NON RENTABLE")))))</f>
        <v/>
      </c>
      <c r="AQ128" s="18" t="str">
        <f aca="false">TRIM(IF(AND($Y128=1,ISNUMBER($N128)),IF($M128&lt;$N128,"MOQ ",""),"")&amp;IF(AND($Y128=1,ISNUMBER($O128)),IF($O128&lt;$I128*$M128,"DISPO ",""),"")&amp;IF($S128="O","FICTIF ","")&amp;IF($Y128=1,IF(AND($K128="TTC",$W128&lt;&gt;"CH"),"TVA-ÉTRANGÈRE ",""),""))</f>
        <v/>
      </c>
      <c r="AR128" s="18" t="str">
        <f aca="false">IF($Y128=1,COUNTIFS($A$6:$A$205,$A128,$AK$6:$AK$205,"&lt;"&amp;$AK128,$Y$6:$Y$205,1)+1,"")</f>
        <v/>
      </c>
      <c r="AS128" s="18" t="str">
        <f aca="false">IF(ISNUMBER($AR128),$A128&amp;"|"&amp;$AR128,"")</f>
        <v/>
      </c>
      <c r="AT128" s="27" t="str">
        <f aca="false">IF($Y128=1,$AK128*$I128*$M128,"")</f>
        <v/>
      </c>
    </row>
    <row r="129" customFormat="false" ht="15" hidden="false" customHeight="false" outlineLevel="0" collapsed="false">
      <c r="A129" s="9"/>
      <c r="B129" s="9"/>
      <c r="C129" s="9"/>
      <c r="D129" s="9"/>
      <c r="E129" s="9"/>
      <c r="F129" s="9"/>
      <c r="G129" s="9"/>
      <c r="H129" s="9"/>
      <c r="I129" s="9"/>
      <c r="J129" s="13"/>
      <c r="K129" s="9"/>
      <c r="L129" s="12"/>
      <c r="M129" s="9"/>
      <c r="N129" s="9"/>
      <c r="O129" s="9"/>
      <c r="P129" s="9"/>
      <c r="Q129" s="16"/>
      <c r="R129" s="13"/>
      <c r="S129" s="9"/>
      <c r="T129" s="18" t="str">
        <f aca="false">IF($C129="","",IFERROR(INDEX(Fournisseurs!$C$5:$C$24,MATCH($C129,Fournisseurs!$A$5:$A$24,0)),""))</f>
        <v/>
      </c>
      <c r="U129" s="25" t="str">
        <f aca="false">IF($C129="","",IFERROR(INDEX(Fournisseurs!$D$5:$D$24,MATCH($C129,Fournisseurs!$A$5:$A$24,0)),""))</f>
        <v/>
      </c>
      <c r="V129" s="26" t="str">
        <f aca="false">IF($C129="","",IFERROR(INDEX(Fournisseurs!$G$5:$G$24,MATCH($C129,Fournisseurs!$A$5:$A$24,0)),""))</f>
        <v/>
      </c>
      <c r="W129" s="18" t="str">
        <f aca="false">IF($C129="","",IFERROR(INDEX(Fournisseurs!$H$5:$H$24,MATCH($C129,Fournisseurs!$A$5:$A$24,0)),""))</f>
        <v/>
      </c>
      <c r="X129" s="18" t="str">
        <f aca="false">IF($C129="","",IFERROR(INDEX(Fournisseurs!$B$5:$B$24,MATCH($C129,Fournisseurs!$A$5:$A$24,0)),""))</f>
        <v/>
      </c>
      <c r="Y129" s="18" t="str">
        <f aca="false">IF($A129="","",IF(AND($A129&lt;&gt;"",$C129&lt;&gt;"",ISNUMBER($I129),ISNUMBER($J129),ISNUMBER($M129)),IF(AND($I129&gt;=1,$J129&gt;0,OR($K129="HT",$K129="TTC"),$M129&gt;=1,IFERROR(INDEX(Fournisseurs!$T$5:$T$24,MATCH($C129,Fournisseurs!$A$5:$A$24,0)),0)=1),1,0),0))</f>
        <v/>
      </c>
      <c r="Z129" s="27" t="str">
        <f aca="false">IF($Y129=1,$J129*(1-N($L129)),"")</f>
        <v/>
      </c>
      <c r="AA129" s="28" t="str">
        <f aca="false">IF($Y129=1,IF($K129="TTC",$Z129/(1+$V129),$Z129),"")</f>
        <v/>
      </c>
      <c r="AB129" s="28" t="str">
        <f aca="false">IF($Y129=1,IF($K129="TTC",$Z129-$AA129,$AA129*$V129),"")</f>
        <v/>
      </c>
      <c r="AC129" s="27" t="str">
        <f aca="false">IF($Y129=1,$AA129*$U129*$M129,"")</f>
        <v/>
      </c>
      <c r="AD129" s="26" t="str">
        <f aca="false">IF($Y129=1,$AC129/SUMIFS($AC$6:$AC$205,$C$6:$C$205,$C129,$Y$6:$Y$205,1),"")</f>
        <v/>
      </c>
      <c r="AE129" s="28" t="str">
        <f aca="false">IF($Y129=1,(INDEX(Fournisseurs!$J$5:$J$24,MATCH($C129,Fournisseurs!$A$5:$A$24,0))+INDEX(Fournisseurs!$K$5:$K$24,MATCH($C129,Fournisseurs!$A$5:$A$24,0)))*$U129*$AD129/($I129*$M129),"")</f>
        <v/>
      </c>
      <c r="AF129" s="28" t="str">
        <f aca="false">IF($Y129=1,INDEX(Fournisseurs!$L$5:$L$24,MATCH($C129,Fournisseurs!$A$5:$A$24,0))*$AD129/($I129*$M129),"")</f>
        <v/>
      </c>
      <c r="AG129" s="28" t="str">
        <f aca="false">IF($Y129=1,$AA129*$U129/$I129,"")</f>
        <v/>
      </c>
      <c r="AH129" s="28" t="str">
        <f aca="false">IF($Y129=1,$AB129*$U129/$I129,"")</f>
        <v/>
      </c>
      <c r="AI129" s="18" t="str">
        <f aca="false">IF($Y129=1,IF(AND(Paramètres!$B$4="EFFECTIVE",$W129="CH",$AB129&gt;0),1,0),"")</f>
        <v/>
      </c>
      <c r="AJ129" s="28" t="str">
        <f aca="false">IF($Y129=1,IF($X129&lt;&gt;"CH",($AG129+$AE129+$AF129)*Paramètres!$B$14,0),"")</f>
        <v/>
      </c>
      <c r="AK129" s="29" t="str">
        <f aca="false">IF($Y129=1,$AG129+IF($AI129=1,0,$AH129)+$AE129+$AF129+IF(Paramètres!$B$4="NOT_REGISTERED",$AJ129,0),"")</f>
        <v/>
      </c>
      <c r="AL129" s="27" t="str">
        <f aca="false">IF($Y129=1,($AK129+Paramètres!$B$7+Paramètres!$B$8+Paramètres!$B$9+Paramètres!$B$10)/((1-Paramètres!$B$11)/(1+Paramètres!$B$5)-Paramètres!$B$6),"")</f>
        <v/>
      </c>
      <c r="AM129" s="26" t="str">
        <f aca="false">IF(AND($Y129=1,ISNUMBER($R129)),IF($R129&gt;0,$AL129/$R129-1,""),"")</f>
        <v/>
      </c>
      <c r="AN129" s="27" t="str">
        <f aca="false">IF(AND($Y129=1,ISNUMBER($R129)),IF($R129&gt;0,$R129/(1+Paramètres!$B$5)-$AK129-($R129*Paramètres!$B$6+Paramètres!$B$7)-Paramètres!$B$8-Paramètres!$B$9-Paramètres!$B$10,""),"")</f>
        <v/>
      </c>
      <c r="AO129" s="26" t="str">
        <f aca="false">IF(ISNUMBER($AN129),$AN129/($R129/(1+Paramètres!$B$5)),"")</f>
        <v/>
      </c>
      <c r="AP129" s="30" t="str">
        <f aca="false">IF($A129="","",IF($Y129&lt;&gt;1,"INCOMPLET",IF(NOT(ISNUMBER($AM129)),"SANS RÉF. MARCHÉ",IF($AM129&lt;=Paramètres!$B$12,"OK",IF(AND($AO129&gt;=Paramètres!$B$15,$AN129&gt;=Paramètres!$B$16),"À REVOIR","NON RENTABLE")))))</f>
        <v/>
      </c>
      <c r="AQ129" s="18" t="str">
        <f aca="false">TRIM(IF(AND($Y129=1,ISNUMBER($N129)),IF($M129&lt;$N129,"MOQ ",""),"")&amp;IF(AND($Y129=1,ISNUMBER($O129)),IF($O129&lt;$I129*$M129,"DISPO ",""),"")&amp;IF($S129="O","FICTIF ","")&amp;IF($Y129=1,IF(AND($K129="TTC",$W129&lt;&gt;"CH"),"TVA-ÉTRANGÈRE ",""),""))</f>
        <v/>
      </c>
      <c r="AR129" s="18" t="str">
        <f aca="false">IF($Y129=1,COUNTIFS($A$6:$A$205,$A129,$AK$6:$AK$205,"&lt;"&amp;$AK129,$Y$6:$Y$205,1)+1,"")</f>
        <v/>
      </c>
      <c r="AS129" s="18" t="str">
        <f aca="false">IF(ISNUMBER($AR129),$A129&amp;"|"&amp;$AR129,"")</f>
        <v/>
      </c>
      <c r="AT129" s="27" t="str">
        <f aca="false">IF($Y129=1,$AK129*$I129*$M129,"")</f>
        <v/>
      </c>
    </row>
    <row r="130" customFormat="false" ht="15" hidden="false" customHeight="false" outlineLevel="0" collapsed="false">
      <c r="A130" s="9"/>
      <c r="B130" s="9"/>
      <c r="C130" s="9"/>
      <c r="D130" s="9"/>
      <c r="E130" s="9"/>
      <c r="F130" s="9"/>
      <c r="G130" s="9"/>
      <c r="H130" s="9"/>
      <c r="I130" s="9"/>
      <c r="J130" s="13"/>
      <c r="K130" s="9"/>
      <c r="L130" s="12"/>
      <c r="M130" s="9"/>
      <c r="N130" s="9"/>
      <c r="O130" s="9"/>
      <c r="P130" s="9"/>
      <c r="Q130" s="16"/>
      <c r="R130" s="13"/>
      <c r="S130" s="9"/>
      <c r="T130" s="18" t="str">
        <f aca="false">IF($C130="","",IFERROR(INDEX(Fournisseurs!$C$5:$C$24,MATCH($C130,Fournisseurs!$A$5:$A$24,0)),""))</f>
        <v/>
      </c>
      <c r="U130" s="25" t="str">
        <f aca="false">IF($C130="","",IFERROR(INDEX(Fournisseurs!$D$5:$D$24,MATCH($C130,Fournisseurs!$A$5:$A$24,0)),""))</f>
        <v/>
      </c>
      <c r="V130" s="26" t="str">
        <f aca="false">IF($C130="","",IFERROR(INDEX(Fournisseurs!$G$5:$G$24,MATCH($C130,Fournisseurs!$A$5:$A$24,0)),""))</f>
        <v/>
      </c>
      <c r="W130" s="18" t="str">
        <f aca="false">IF($C130="","",IFERROR(INDEX(Fournisseurs!$H$5:$H$24,MATCH($C130,Fournisseurs!$A$5:$A$24,0)),""))</f>
        <v/>
      </c>
      <c r="X130" s="18" t="str">
        <f aca="false">IF($C130="","",IFERROR(INDEX(Fournisseurs!$B$5:$B$24,MATCH($C130,Fournisseurs!$A$5:$A$24,0)),""))</f>
        <v/>
      </c>
      <c r="Y130" s="18" t="str">
        <f aca="false">IF($A130="","",IF(AND($A130&lt;&gt;"",$C130&lt;&gt;"",ISNUMBER($I130),ISNUMBER($J130),ISNUMBER($M130)),IF(AND($I130&gt;=1,$J130&gt;0,OR($K130="HT",$K130="TTC"),$M130&gt;=1,IFERROR(INDEX(Fournisseurs!$T$5:$T$24,MATCH($C130,Fournisseurs!$A$5:$A$24,0)),0)=1),1,0),0))</f>
        <v/>
      </c>
      <c r="Z130" s="27" t="str">
        <f aca="false">IF($Y130=1,$J130*(1-N($L130)),"")</f>
        <v/>
      </c>
      <c r="AA130" s="28" t="str">
        <f aca="false">IF($Y130=1,IF($K130="TTC",$Z130/(1+$V130),$Z130),"")</f>
        <v/>
      </c>
      <c r="AB130" s="28" t="str">
        <f aca="false">IF($Y130=1,IF($K130="TTC",$Z130-$AA130,$AA130*$V130),"")</f>
        <v/>
      </c>
      <c r="AC130" s="27" t="str">
        <f aca="false">IF($Y130=1,$AA130*$U130*$M130,"")</f>
        <v/>
      </c>
      <c r="AD130" s="26" t="str">
        <f aca="false">IF($Y130=1,$AC130/SUMIFS($AC$6:$AC$205,$C$6:$C$205,$C130,$Y$6:$Y$205,1),"")</f>
        <v/>
      </c>
      <c r="AE130" s="28" t="str">
        <f aca="false">IF($Y130=1,(INDEX(Fournisseurs!$J$5:$J$24,MATCH($C130,Fournisseurs!$A$5:$A$24,0))+INDEX(Fournisseurs!$K$5:$K$24,MATCH($C130,Fournisseurs!$A$5:$A$24,0)))*$U130*$AD130/($I130*$M130),"")</f>
        <v/>
      </c>
      <c r="AF130" s="28" t="str">
        <f aca="false">IF($Y130=1,INDEX(Fournisseurs!$L$5:$L$24,MATCH($C130,Fournisseurs!$A$5:$A$24,0))*$AD130/($I130*$M130),"")</f>
        <v/>
      </c>
      <c r="AG130" s="28" t="str">
        <f aca="false">IF($Y130=1,$AA130*$U130/$I130,"")</f>
        <v/>
      </c>
      <c r="AH130" s="28" t="str">
        <f aca="false">IF($Y130=1,$AB130*$U130/$I130,"")</f>
        <v/>
      </c>
      <c r="AI130" s="18" t="str">
        <f aca="false">IF($Y130=1,IF(AND(Paramètres!$B$4="EFFECTIVE",$W130="CH",$AB130&gt;0),1,0),"")</f>
        <v/>
      </c>
      <c r="AJ130" s="28" t="str">
        <f aca="false">IF($Y130=1,IF($X130&lt;&gt;"CH",($AG130+$AE130+$AF130)*Paramètres!$B$14,0),"")</f>
        <v/>
      </c>
      <c r="AK130" s="29" t="str">
        <f aca="false">IF($Y130=1,$AG130+IF($AI130=1,0,$AH130)+$AE130+$AF130+IF(Paramètres!$B$4="NOT_REGISTERED",$AJ130,0),"")</f>
        <v/>
      </c>
      <c r="AL130" s="27" t="str">
        <f aca="false">IF($Y130=1,($AK130+Paramètres!$B$7+Paramètres!$B$8+Paramètres!$B$9+Paramètres!$B$10)/((1-Paramètres!$B$11)/(1+Paramètres!$B$5)-Paramètres!$B$6),"")</f>
        <v/>
      </c>
      <c r="AM130" s="26" t="str">
        <f aca="false">IF(AND($Y130=1,ISNUMBER($R130)),IF($R130&gt;0,$AL130/$R130-1,""),"")</f>
        <v/>
      </c>
      <c r="AN130" s="27" t="str">
        <f aca="false">IF(AND($Y130=1,ISNUMBER($R130)),IF($R130&gt;0,$R130/(1+Paramètres!$B$5)-$AK130-($R130*Paramètres!$B$6+Paramètres!$B$7)-Paramètres!$B$8-Paramètres!$B$9-Paramètres!$B$10,""),"")</f>
        <v/>
      </c>
      <c r="AO130" s="26" t="str">
        <f aca="false">IF(ISNUMBER($AN130),$AN130/($R130/(1+Paramètres!$B$5)),"")</f>
        <v/>
      </c>
      <c r="AP130" s="30" t="str">
        <f aca="false">IF($A130="","",IF($Y130&lt;&gt;1,"INCOMPLET",IF(NOT(ISNUMBER($AM130)),"SANS RÉF. MARCHÉ",IF($AM130&lt;=Paramètres!$B$12,"OK",IF(AND($AO130&gt;=Paramètres!$B$15,$AN130&gt;=Paramètres!$B$16),"À REVOIR","NON RENTABLE")))))</f>
        <v/>
      </c>
      <c r="AQ130" s="18" t="str">
        <f aca="false">TRIM(IF(AND($Y130=1,ISNUMBER($N130)),IF($M130&lt;$N130,"MOQ ",""),"")&amp;IF(AND($Y130=1,ISNUMBER($O130)),IF($O130&lt;$I130*$M130,"DISPO ",""),"")&amp;IF($S130="O","FICTIF ","")&amp;IF($Y130=1,IF(AND($K130="TTC",$W130&lt;&gt;"CH"),"TVA-ÉTRANGÈRE ",""),""))</f>
        <v/>
      </c>
      <c r="AR130" s="18" t="str">
        <f aca="false">IF($Y130=1,COUNTIFS($A$6:$A$205,$A130,$AK$6:$AK$205,"&lt;"&amp;$AK130,$Y$6:$Y$205,1)+1,"")</f>
        <v/>
      </c>
      <c r="AS130" s="18" t="str">
        <f aca="false">IF(ISNUMBER($AR130),$A130&amp;"|"&amp;$AR130,"")</f>
        <v/>
      </c>
      <c r="AT130" s="27" t="str">
        <f aca="false">IF($Y130=1,$AK130*$I130*$M130,"")</f>
        <v/>
      </c>
    </row>
    <row r="131" customFormat="false" ht="15" hidden="false" customHeight="false" outlineLevel="0" collapsed="false">
      <c r="A131" s="9"/>
      <c r="B131" s="9"/>
      <c r="C131" s="9"/>
      <c r="D131" s="9"/>
      <c r="E131" s="9"/>
      <c r="F131" s="9"/>
      <c r="G131" s="9"/>
      <c r="H131" s="9"/>
      <c r="I131" s="9"/>
      <c r="J131" s="13"/>
      <c r="K131" s="9"/>
      <c r="L131" s="12"/>
      <c r="M131" s="9"/>
      <c r="N131" s="9"/>
      <c r="O131" s="9"/>
      <c r="P131" s="9"/>
      <c r="Q131" s="16"/>
      <c r="R131" s="13"/>
      <c r="S131" s="9"/>
      <c r="T131" s="18" t="str">
        <f aca="false">IF($C131="","",IFERROR(INDEX(Fournisseurs!$C$5:$C$24,MATCH($C131,Fournisseurs!$A$5:$A$24,0)),""))</f>
        <v/>
      </c>
      <c r="U131" s="25" t="str">
        <f aca="false">IF($C131="","",IFERROR(INDEX(Fournisseurs!$D$5:$D$24,MATCH($C131,Fournisseurs!$A$5:$A$24,0)),""))</f>
        <v/>
      </c>
      <c r="V131" s="26" t="str">
        <f aca="false">IF($C131="","",IFERROR(INDEX(Fournisseurs!$G$5:$G$24,MATCH($C131,Fournisseurs!$A$5:$A$24,0)),""))</f>
        <v/>
      </c>
      <c r="W131" s="18" t="str">
        <f aca="false">IF($C131="","",IFERROR(INDEX(Fournisseurs!$H$5:$H$24,MATCH($C131,Fournisseurs!$A$5:$A$24,0)),""))</f>
        <v/>
      </c>
      <c r="X131" s="18" t="str">
        <f aca="false">IF($C131="","",IFERROR(INDEX(Fournisseurs!$B$5:$B$24,MATCH($C131,Fournisseurs!$A$5:$A$24,0)),""))</f>
        <v/>
      </c>
      <c r="Y131" s="18" t="str">
        <f aca="false">IF($A131="","",IF(AND($A131&lt;&gt;"",$C131&lt;&gt;"",ISNUMBER($I131),ISNUMBER($J131),ISNUMBER($M131)),IF(AND($I131&gt;=1,$J131&gt;0,OR($K131="HT",$K131="TTC"),$M131&gt;=1,IFERROR(INDEX(Fournisseurs!$T$5:$T$24,MATCH($C131,Fournisseurs!$A$5:$A$24,0)),0)=1),1,0),0))</f>
        <v/>
      </c>
      <c r="Z131" s="27" t="str">
        <f aca="false">IF($Y131=1,$J131*(1-N($L131)),"")</f>
        <v/>
      </c>
      <c r="AA131" s="28" t="str">
        <f aca="false">IF($Y131=1,IF($K131="TTC",$Z131/(1+$V131),$Z131),"")</f>
        <v/>
      </c>
      <c r="AB131" s="28" t="str">
        <f aca="false">IF($Y131=1,IF($K131="TTC",$Z131-$AA131,$AA131*$V131),"")</f>
        <v/>
      </c>
      <c r="AC131" s="27" t="str">
        <f aca="false">IF($Y131=1,$AA131*$U131*$M131,"")</f>
        <v/>
      </c>
      <c r="AD131" s="26" t="str">
        <f aca="false">IF($Y131=1,$AC131/SUMIFS($AC$6:$AC$205,$C$6:$C$205,$C131,$Y$6:$Y$205,1),"")</f>
        <v/>
      </c>
      <c r="AE131" s="28" t="str">
        <f aca="false">IF($Y131=1,(INDEX(Fournisseurs!$J$5:$J$24,MATCH($C131,Fournisseurs!$A$5:$A$24,0))+INDEX(Fournisseurs!$K$5:$K$24,MATCH($C131,Fournisseurs!$A$5:$A$24,0)))*$U131*$AD131/($I131*$M131),"")</f>
        <v/>
      </c>
      <c r="AF131" s="28" t="str">
        <f aca="false">IF($Y131=1,INDEX(Fournisseurs!$L$5:$L$24,MATCH($C131,Fournisseurs!$A$5:$A$24,0))*$AD131/($I131*$M131),"")</f>
        <v/>
      </c>
      <c r="AG131" s="28" t="str">
        <f aca="false">IF($Y131=1,$AA131*$U131/$I131,"")</f>
        <v/>
      </c>
      <c r="AH131" s="28" t="str">
        <f aca="false">IF($Y131=1,$AB131*$U131/$I131,"")</f>
        <v/>
      </c>
      <c r="AI131" s="18" t="str">
        <f aca="false">IF($Y131=1,IF(AND(Paramètres!$B$4="EFFECTIVE",$W131="CH",$AB131&gt;0),1,0),"")</f>
        <v/>
      </c>
      <c r="AJ131" s="28" t="str">
        <f aca="false">IF($Y131=1,IF($X131&lt;&gt;"CH",($AG131+$AE131+$AF131)*Paramètres!$B$14,0),"")</f>
        <v/>
      </c>
      <c r="AK131" s="29" t="str">
        <f aca="false">IF($Y131=1,$AG131+IF($AI131=1,0,$AH131)+$AE131+$AF131+IF(Paramètres!$B$4="NOT_REGISTERED",$AJ131,0),"")</f>
        <v/>
      </c>
      <c r="AL131" s="27" t="str">
        <f aca="false">IF($Y131=1,($AK131+Paramètres!$B$7+Paramètres!$B$8+Paramètres!$B$9+Paramètres!$B$10)/((1-Paramètres!$B$11)/(1+Paramètres!$B$5)-Paramètres!$B$6),"")</f>
        <v/>
      </c>
      <c r="AM131" s="26" t="str">
        <f aca="false">IF(AND($Y131=1,ISNUMBER($R131)),IF($R131&gt;0,$AL131/$R131-1,""),"")</f>
        <v/>
      </c>
      <c r="AN131" s="27" t="str">
        <f aca="false">IF(AND($Y131=1,ISNUMBER($R131)),IF($R131&gt;0,$R131/(1+Paramètres!$B$5)-$AK131-($R131*Paramètres!$B$6+Paramètres!$B$7)-Paramètres!$B$8-Paramètres!$B$9-Paramètres!$B$10,""),"")</f>
        <v/>
      </c>
      <c r="AO131" s="26" t="str">
        <f aca="false">IF(ISNUMBER($AN131),$AN131/($R131/(1+Paramètres!$B$5)),"")</f>
        <v/>
      </c>
      <c r="AP131" s="30" t="str">
        <f aca="false">IF($A131="","",IF($Y131&lt;&gt;1,"INCOMPLET",IF(NOT(ISNUMBER($AM131)),"SANS RÉF. MARCHÉ",IF($AM131&lt;=Paramètres!$B$12,"OK",IF(AND($AO131&gt;=Paramètres!$B$15,$AN131&gt;=Paramètres!$B$16),"À REVOIR","NON RENTABLE")))))</f>
        <v/>
      </c>
      <c r="AQ131" s="18" t="str">
        <f aca="false">TRIM(IF(AND($Y131=1,ISNUMBER($N131)),IF($M131&lt;$N131,"MOQ ",""),"")&amp;IF(AND($Y131=1,ISNUMBER($O131)),IF($O131&lt;$I131*$M131,"DISPO ",""),"")&amp;IF($S131="O","FICTIF ","")&amp;IF($Y131=1,IF(AND($K131="TTC",$W131&lt;&gt;"CH"),"TVA-ÉTRANGÈRE ",""),""))</f>
        <v/>
      </c>
      <c r="AR131" s="18" t="str">
        <f aca="false">IF($Y131=1,COUNTIFS($A$6:$A$205,$A131,$AK$6:$AK$205,"&lt;"&amp;$AK131,$Y$6:$Y$205,1)+1,"")</f>
        <v/>
      </c>
      <c r="AS131" s="18" t="str">
        <f aca="false">IF(ISNUMBER($AR131),$A131&amp;"|"&amp;$AR131,"")</f>
        <v/>
      </c>
      <c r="AT131" s="27" t="str">
        <f aca="false">IF($Y131=1,$AK131*$I131*$M131,"")</f>
        <v/>
      </c>
    </row>
    <row r="132" customFormat="false" ht="15" hidden="false" customHeight="false" outlineLevel="0" collapsed="false">
      <c r="A132" s="9"/>
      <c r="B132" s="9"/>
      <c r="C132" s="9"/>
      <c r="D132" s="9"/>
      <c r="E132" s="9"/>
      <c r="F132" s="9"/>
      <c r="G132" s="9"/>
      <c r="H132" s="9"/>
      <c r="I132" s="9"/>
      <c r="J132" s="13"/>
      <c r="K132" s="9"/>
      <c r="L132" s="12"/>
      <c r="M132" s="9"/>
      <c r="N132" s="9"/>
      <c r="O132" s="9"/>
      <c r="P132" s="9"/>
      <c r="Q132" s="16"/>
      <c r="R132" s="13"/>
      <c r="S132" s="9"/>
      <c r="T132" s="18" t="str">
        <f aca="false">IF($C132="","",IFERROR(INDEX(Fournisseurs!$C$5:$C$24,MATCH($C132,Fournisseurs!$A$5:$A$24,0)),""))</f>
        <v/>
      </c>
      <c r="U132" s="25" t="str">
        <f aca="false">IF($C132="","",IFERROR(INDEX(Fournisseurs!$D$5:$D$24,MATCH($C132,Fournisseurs!$A$5:$A$24,0)),""))</f>
        <v/>
      </c>
      <c r="V132" s="26" t="str">
        <f aca="false">IF($C132="","",IFERROR(INDEX(Fournisseurs!$G$5:$G$24,MATCH($C132,Fournisseurs!$A$5:$A$24,0)),""))</f>
        <v/>
      </c>
      <c r="W132" s="18" t="str">
        <f aca="false">IF($C132="","",IFERROR(INDEX(Fournisseurs!$H$5:$H$24,MATCH($C132,Fournisseurs!$A$5:$A$24,0)),""))</f>
        <v/>
      </c>
      <c r="X132" s="18" t="str">
        <f aca="false">IF($C132="","",IFERROR(INDEX(Fournisseurs!$B$5:$B$24,MATCH($C132,Fournisseurs!$A$5:$A$24,0)),""))</f>
        <v/>
      </c>
      <c r="Y132" s="18" t="str">
        <f aca="false">IF($A132="","",IF(AND($A132&lt;&gt;"",$C132&lt;&gt;"",ISNUMBER($I132),ISNUMBER($J132),ISNUMBER($M132)),IF(AND($I132&gt;=1,$J132&gt;0,OR($K132="HT",$K132="TTC"),$M132&gt;=1,IFERROR(INDEX(Fournisseurs!$T$5:$T$24,MATCH($C132,Fournisseurs!$A$5:$A$24,0)),0)=1),1,0),0))</f>
        <v/>
      </c>
      <c r="Z132" s="27" t="str">
        <f aca="false">IF($Y132=1,$J132*(1-N($L132)),"")</f>
        <v/>
      </c>
      <c r="AA132" s="28" t="str">
        <f aca="false">IF($Y132=1,IF($K132="TTC",$Z132/(1+$V132),$Z132),"")</f>
        <v/>
      </c>
      <c r="AB132" s="28" t="str">
        <f aca="false">IF($Y132=1,IF($K132="TTC",$Z132-$AA132,$AA132*$V132),"")</f>
        <v/>
      </c>
      <c r="AC132" s="27" t="str">
        <f aca="false">IF($Y132=1,$AA132*$U132*$M132,"")</f>
        <v/>
      </c>
      <c r="AD132" s="26" t="str">
        <f aca="false">IF($Y132=1,$AC132/SUMIFS($AC$6:$AC$205,$C$6:$C$205,$C132,$Y$6:$Y$205,1),"")</f>
        <v/>
      </c>
      <c r="AE132" s="28" t="str">
        <f aca="false">IF($Y132=1,(INDEX(Fournisseurs!$J$5:$J$24,MATCH($C132,Fournisseurs!$A$5:$A$24,0))+INDEX(Fournisseurs!$K$5:$K$24,MATCH($C132,Fournisseurs!$A$5:$A$24,0)))*$U132*$AD132/($I132*$M132),"")</f>
        <v/>
      </c>
      <c r="AF132" s="28" t="str">
        <f aca="false">IF($Y132=1,INDEX(Fournisseurs!$L$5:$L$24,MATCH($C132,Fournisseurs!$A$5:$A$24,0))*$AD132/($I132*$M132),"")</f>
        <v/>
      </c>
      <c r="AG132" s="28" t="str">
        <f aca="false">IF($Y132=1,$AA132*$U132/$I132,"")</f>
        <v/>
      </c>
      <c r="AH132" s="28" t="str">
        <f aca="false">IF($Y132=1,$AB132*$U132/$I132,"")</f>
        <v/>
      </c>
      <c r="AI132" s="18" t="str">
        <f aca="false">IF($Y132=1,IF(AND(Paramètres!$B$4="EFFECTIVE",$W132="CH",$AB132&gt;0),1,0),"")</f>
        <v/>
      </c>
      <c r="AJ132" s="28" t="str">
        <f aca="false">IF($Y132=1,IF($X132&lt;&gt;"CH",($AG132+$AE132+$AF132)*Paramètres!$B$14,0),"")</f>
        <v/>
      </c>
      <c r="AK132" s="29" t="str">
        <f aca="false">IF($Y132=1,$AG132+IF($AI132=1,0,$AH132)+$AE132+$AF132+IF(Paramètres!$B$4="NOT_REGISTERED",$AJ132,0),"")</f>
        <v/>
      </c>
      <c r="AL132" s="27" t="str">
        <f aca="false">IF($Y132=1,($AK132+Paramètres!$B$7+Paramètres!$B$8+Paramètres!$B$9+Paramètres!$B$10)/((1-Paramètres!$B$11)/(1+Paramètres!$B$5)-Paramètres!$B$6),"")</f>
        <v/>
      </c>
      <c r="AM132" s="26" t="str">
        <f aca="false">IF(AND($Y132=1,ISNUMBER($R132)),IF($R132&gt;0,$AL132/$R132-1,""),"")</f>
        <v/>
      </c>
      <c r="AN132" s="27" t="str">
        <f aca="false">IF(AND($Y132=1,ISNUMBER($R132)),IF($R132&gt;0,$R132/(1+Paramètres!$B$5)-$AK132-($R132*Paramètres!$B$6+Paramètres!$B$7)-Paramètres!$B$8-Paramètres!$B$9-Paramètres!$B$10,""),"")</f>
        <v/>
      </c>
      <c r="AO132" s="26" t="str">
        <f aca="false">IF(ISNUMBER($AN132),$AN132/($R132/(1+Paramètres!$B$5)),"")</f>
        <v/>
      </c>
      <c r="AP132" s="30" t="str">
        <f aca="false">IF($A132="","",IF($Y132&lt;&gt;1,"INCOMPLET",IF(NOT(ISNUMBER($AM132)),"SANS RÉF. MARCHÉ",IF($AM132&lt;=Paramètres!$B$12,"OK",IF(AND($AO132&gt;=Paramètres!$B$15,$AN132&gt;=Paramètres!$B$16),"À REVOIR","NON RENTABLE")))))</f>
        <v/>
      </c>
      <c r="AQ132" s="18" t="str">
        <f aca="false">TRIM(IF(AND($Y132=1,ISNUMBER($N132)),IF($M132&lt;$N132,"MOQ ",""),"")&amp;IF(AND($Y132=1,ISNUMBER($O132)),IF($O132&lt;$I132*$M132,"DISPO ",""),"")&amp;IF($S132="O","FICTIF ","")&amp;IF($Y132=1,IF(AND($K132="TTC",$W132&lt;&gt;"CH"),"TVA-ÉTRANGÈRE ",""),""))</f>
        <v/>
      </c>
      <c r="AR132" s="18" t="str">
        <f aca="false">IF($Y132=1,COUNTIFS($A$6:$A$205,$A132,$AK$6:$AK$205,"&lt;"&amp;$AK132,$Y$6:$Y$205,1)+1,"")</f>
        <v/>
      </c>
      <c r="AS132" s="18" t="str">
        <f aca="false">IF(ISNUMBER($AR132),$A132&amp;"|"&amp;$AR132,"")</f>
        <v/>
      </c>
      <c r="AT132" s="27" t="str">
        <f aca="false">IF($Y132=1,$AK132*$I132*$M132,"")</f>
        <v/>
      </c>
    </row>
    <row r="133" customFormat="false" ht="15" hidden="false" customHeight="false" outlineLevel="0" collapsed="false">
      <c r="A133" s="9"/>
      <c r="B133" s="9"/>
      <c r="C133" s="9"/>
      <c r="D133" s="9"/>
      <c r="E133" s="9"/>
      <c r="F133" s="9"/>
      <c r="G133" s="9"/>
      <c r="H133" s="9"/>
      <c r="I133" s="9"/>
      <c r="J133" s="13"/>
      <c r="K133" s="9"/>
      <c r="L133" s="12"/>
      <c r="M133" s="9"/>
      <c r="N133" s="9"/>
      <c r="O133" s="9"/>
      <c r="P133" s="9"/>
      <c r="Q133" s="16"/>
      <c r="R133" s="13"/>
      <c r="S133" s="9"/>
      <c r="T133" s="18" t="str">
        <f aca="false">IF($C133="","",IFERROR(INDEX(Fournisseurs!$C$5:$C$24,MATCH($C133,Fournisseurs!$A$5:$A$24,0)),""))</f>
        <v/>
      </c>
      <c r="U133" s="25" t="str">
        <f aca="false">IF($C133="","",IFERROR(INDEX(Fournisseurs!$D$5:$D$24,MATCH($C133,Fournisseurs!$A$5:$A$24,0)),""))</f>
        <v/>
      </c>
      <c r="V133" s="26" t="str">
        <f aca="false">IF($C133="","",IFERROR(INDEX(Fournisseurs!$G$5:$G$24,MATCH($C133,Fournisseurs!$A$5:$A$24,0)),""))</f>
        <v/>
      </c>
      <c r="W133" s="18" t="str">
        <f aca="false">IF($C133="","",IFERROR(INDEX(Fournisseurs!$H$5:$H$24,MATCH($C133,Fournisseurs!$A$5:$A$24,0)),""))</f>
        <v/>
      </c>
      <c r="X133" s="18" t="str">
        <f aca="false">IF($C133="","",IFERROR(INDEX(Fournisseurs!$B$5:$B$24,MATCH($C133,Fournisseurs!$A$5:$A$24,0)),""))</f>
        <v/>
      </c>
      <c r="Y133" s="18" t="str">
        <f aca="false">IF($A133="","",IF(AND($A133&lt;&gt;"",$C133&lt;&gt;"",ISNUMBER($I133),ISNUMBER($J133),ISNUMBER($M133)),IF(AND($I133&gt;=1,$J133&gt;0,OR($K133="HT",$K133="TTC"),$M133&gt;=1,IFERROR(INDEX(Fournisseurs!$T$5:$T$24,MATCH($C133,Fournisseurs!$A$5:$A$24,0)),0)=1),1,0),0))</f>
        <v/>
      </c>
      <c r="Z133" s="27" t="str">
        <f aca="false">IF($Y133=1,$J133*(1-N($L133)),"")</f>
        <v/>
      </c>
      <c r="AA133" s="28" t="str">
        <f aca="false">IF($Y133=1,IF($K133="TTC",$Z133/(1+$V133),$Z133),"")</f>
        <v/>
      </c>
      <c r="AB133" s="28" t="str">
        <f aca="false">IF($Y133=1,IF($K133="TTC",$Z133-$AA133,$AA133*$V133),"")</f>
        <v/>
      </c>
      <c r="AC133" s="27" t="str">
        <f aca="false">IF($Y133=1,$AA133*$U133*$M133,"")</f>
        <v/>
      </c>
      <c r="AD133" s="26" t="str">
        <f aca="false">IF($Y133=1,$AC133/SUMIFS($AC$6:$AC$205,$C$6:$C$205,$C133,$Y$6:$Y$205,1),"")</f>
        <v/>
      </c>
      <c r="AE133" s="28" t="str">
        <f aca="false">IF($Y133=1,(INDEX(Fournisseurs!$J$5:$J$24,MATCH($C133,Fournisseurs!$A$5:$A$24,0))+INDEX(Fournisseurs!$K$5:$K$24,MATCH($C133,Fournisseurs!$A$5:$A$24,0)))*$U133*$AD133/($I133*$M133),"")</f>
        <v/>
      </c>
      <c r="AF133" s="28" t="str">
        <f aca="false">IF($Y133=1,INDEX(Fournisseurs!$L$5:$L$24,MATCH($C133,Fournisseurs!$A$5:$A$24,0))*$AD133/($I133*$M133),"")</f>
        <v/>
      </c>
      <c r="AG133" s="28" t="str">
        <f aca="false">IF($Y133=1,$AA133*$U133/$I133,"")</f>
        <v/>
      </c>
      <c r="AH133" s="28" t="str">
        <f aca="false">IF($Y133=1,$AB133*$U133/$I133,"")</f>
        <v/>
      </c>
      <c r="AI133" s="18" t="str">
        <f aca="false">IF($Y133=1,IF(AND(Paramètres!$B$4="EFFECTIVE",$W133="CH",$AB133&gt;0),1,0),"")</f>
        <v/>
      </c>
      <c r="AJ133" s="28" t="str">
        <f aca="false">IF($Y133=1,IF($X133&lt;&gt;"CH",($AG133+$AE133+$AF133)*Paramètres!$B$14,0),"")</f>
        <v/>
      </c>
      <c r="AK133" s="29" t="str">
        <f aca="false">IF($Y133=1,$AG133+IF($AI133=1,0,$AH133)+$AE133+$AF133+IF(Paramètres!$B$4="NOT_REGISTERED",$AJ133,0),"")</f>
        <v/>
      </c>
      <c r="AL133" s="27" t="str">
        <f aca="false">IF($Y133=1,($AK133+Paramètres!$B$7+Paramètres!$B$8+Paramètres!$B$9+Paramètres!$B$10)/((1-Paramètres!$B$11)/(1+Paramètres!$B$5)-Paramètres!$B$6),"")</f>
        <v/>
      </c>
      <c r="AM133" s="26" t="str">
        <f aca="false">IF(AND($Y133=1,ISNUMBER($R133)),IF($R133&gt;0,$AL133/$R133-1,""),"")</f>
        <v/>
      </c>
      <c r="AN133" s="27" t="str">
        <f aca="false">IF(AND($Y133=1,ISNUMBER($R133)),IF($R133&gt;0,$R133/(1+Paramètres!$B$5)-$AK133-($R133*Paramètres!$B$6+Paramètres!$B$7)-Paramètres!$B$8-Paramètres!$B$9-Paramètres!$B$10,""),"")</f>
        <v/>
      </c>
      <c r="AO133" s="26" t="str">
        <f aca="false">IF(ISNUMBER($AN133),$AN133/($R133/(1+Paramètres!$B$5)),"")</f>
        <v/>
      </c>
      <c r="AP133" s="30" t="str">
        <f aca="false">IF($A133="","",IF($Y133&lt;&gt;1,"INCOMPLET",IF(NOT(ISNUMBER($AM133)),"SANS RÉF. MARCHÉ",IF($AM133&lt;=Paramètres!$B$12,"OK",IF(AND($AO133&gt;=Paramètres!$B$15,$AN133&gt;=Paramètres!$B$16),"À REVOIR","NON RENTABLE")))))</f>
        <v/>
      </c>
      <c r="AQ133" s="18" t="str">
        <f aca="false">TRIM(IF(AND($Y133=1,ISNUMBER($N133)),IF($M133&lt;$N133,"MOQ ",""),"")&amp;IF(AND($Y133=1,ISNUMBER($O133)),IF($O133&lt;$I133*$M133,"DISPO ",""),"")&amp;IF($S133="O","FICTIF ","")&amp;IF($Y133=1,IF(AND($K133="TTC",$W133&lt;&gt;"CH"),"TVA-ÉTRANGÈRE ",""),""))</f>
        <v/>
      </c>
      <c r="AR133" s="18" t="str">
        <f aca="false">IF($Y133=1,COUNTIFS($A$6:$A$205,$A133,$AK$6:$AK$205,"&lt;"&amp;$AK133,$Y$6:$Y$205,1)+1,"")</f>
        <v/>
      </c>
      <c r="AS133" s="18" t="str">
        <f aca="false">IF(ISNUMBER($AR133),$A133&amp;"|"&amp;$AR133,"")</f>
        <v/>
      </c>
      <c r="AT133" s="27" t="str">
        <f aca="false">IF($Y133=1,$AK133*$I133*$M133,"")</f>
        <v/>
      </c>
    </row>
    <row r="134" customFormat="false" ht="15" hidden="false" customHeight="false" outlineLevel="0" collapsed="false">
      <c r="A134" s="9"/>
      <c r="B134" s="9"/>
      <c r="C134" s="9"/>
      <c r="D134" s="9"/>
      <c r="E134" s="9"/>
      <c r="F134" s="9"/>
      <c r="G134" s="9"/>
      <c r="H134" s="9"/>
      <c r="I134" s="9"/>
      <c r="J134" s="13"/>
      <c r="K134" s="9"/>
      <c r="L134" s="12"/>
      <c r="M134" s="9"/>
      <c r="N134" s="9"/>
      <c r="O134" s="9"/>
      <c r="P134" s="9"/>
      <c r="Q134" s="16"/>
      <c r="R134" s="13"/>
      <c r="S134" s="9"/>
      <c r="T134" s="18" t="str">
        <f aca="false">IF($C134="","",IFERROR(INDEX(Fournisseurs!$C$5:$C$24,MATCH($C134,Fournisseurs!$A$5:$A$24,0)),""))</f>
        <v/>
      </c>
      <c r="U134" s="25" t="str">
        <f aca="false">IF($C134="","",IFERROR(INDEX(Fournisseurs!$D$5:$D$24,MATCH($C134,Fournisseurs!$A$5:$A$24,0)),""))</f>
        <v/>
      </c>
      <c r="V134" s="26" t="str">
        <f aca="false">IF($C134="","",IFERROR(INDEX(Fournisseurs!$G$5:$G$24,MATCH($C134,Fournisseurs!$A$5:$A$24,0)),""))</f>
        <v/>
      </c>
      <c r="W134" s="18" t="str">
        <f aca="false">IF($C134="","",IFERROR(INDEX(Fournisseurs!$H$5:$H$24,MATCH($C134,Fournisseurs!$A$5:$A$24,0)),""))</f>
        <v/>
      </c>
      <c r="X134" s="18" t="str">
        <f aca="false">IF($C134="","",IFERROR(INDEX(Fournisseurs!$B$5:$B$24,MATCH($C134,Fournisseurs!$A$5:$A$24,0)),""))</f>
        <v/>
      </c>
      <c r="Y134" s="18" t="str">
        <f aca="false">IF($A134="","",IF(AND($A134&lt;&gt;"",$C134&lt;&gt;"",ISNUMBER($I134),ISNUMBER($J134),ISNUMBER($M134)),IF(AND($I134&gt;=1,$J134&gt;0,OR($K134="HT",$K134="TTC"),$M134&gt;=1,IFERROR(INDEX(Fournisseurs!$T$5:$T$24,MATCH($C134,Fournisseurs!$A$5:$A$24,0)),0)=1),1,0),0))</f>
        <v/>
      </c>
      <c r="Z134" s="27" t="str">
        <f aca="false">IF($Y134=1,$J134*(1-N($L134)),"")</f>
        <v/>
      </c>
      <c r="AA134" s="28" t="str">
        <f aca="false">IF($Y134=1,IF($K134="TTC",$Z134/(1+$V134),$Z134),"")</f>
        <v/>
      </c>
      <c r="AB134" s="28" t="str">
        <f aca="false">IF($Y134=1,IF($K134="TTC",$Z134-$AA134,$AA134*$V134),"")</f>
        <v/>
      </c>
      <c r="AC134" s="27" t="str">
        <f aca="false">IF($Y134=1,$AA134*$U134*$M134,"")</f>
        <v/>
      </c>
      <c r="AD134" s="26" t="str">
        <f aca="false">IF($Y134=1,$AC134/SUMIFS($AC$6:$AC$205,$C$6:$C$205,$C134,$Y$6:$Y$205,1),"")</f>
        <v/>
      </c>
      <c r="AE134" s="28" t="str">
        <f aca="false">IF($Y134=1,(INDEX(Fournisseurs!$J$5:$J$24,MATCH($C134,Fournisseurs!$A$5:$A$24,0))+INDEX(Fournisseurs!$K$5:$K$24,MATCH($C134,Fournisseurs!$A$5:$A$24,0)))*$U134*$AD134/($I134*$M134),"")</f>
        <v/>
      </c>
      <c r="AF134" s="28" t="str">
        <f aca="false">IF($Y134=1,INDEX(Fournisseurs!$L$5:$L$24,MATCH($C134,Fournisseurs!$A$5:$A$24,0))*$AD134/($I134*$M134),"")</f>
        <v/>
      </c>
      <c r="AG134" s="28" t="str">
        <f aca="false">IF($Y134=1,$AA134*$U134/$I134,"")</f>
        <v/>
      </c>
      <c r="AH134" s="28" t="str">
        <f aca="false">IF($Y134=1,$AB134*$U134/$I134,"")</f>
        <v/>
      </c>
      <c r="AI134" s="18" t="str">
        <f aca="false">IF($Y134=1,IF(AND(Paramètres!$B$4="EFFECTIVE",$W134="CH",$AB134&gt;0),1,0),"")</f>
        <v/>
      </c>
      <c r="AJ134" s="28" t="str">
        <f aca="false">IF($Y134=1,IF($X134&lt;&gt;"CH",($AG134+$AE134+$AF134)*Paramètres!$B$14,0),"")</f>
        <v/>
      </c>
      <c r="AK134" s="29" t="str">
        <f aca="false">IF($Y134=1,$AG134+IF($AI134=1,0,$AH134)+$AE134+$AF134+IF(Paramètres!$B$4="NOT_REGISTERED",$AJ134,0),"")</f>
        <v/>
      </c>
      <c r="AL134" s="27" t="str">
        <f aca="false">IF($Y134=1,($AK134+Paramètres!$B$7+Paramètres!$B$8+Paramètres!$B$9+Paramètres!$B$10)/((1-Paramètres!$B$11)/(1+Paramètres!$B$5)-Paramètres!$B$6),"")</f>
        <v/>
      </c>
      <c r="AM134" s="26" t="str">
        <f aca="false">IF(AND($Y134=1,ISNUMBER($R134)),IF($R134&gt;0,$AL134/$R134-1,""),"")</f>
        <v/>
      </c>
      <c r="AN134" s="27" t="str">
        <f aca="false">IF(AND($Y134=1,ISNUMBER($R134)),IF($R134&gt;0,$R134/(1+Paramètres!$B$5)-$AK134-($R134*Paramètres!$B$6+Paramètres!$B$7)-Paramètres!$B$8-Paramètres!$B$9-Paramètres!$B$10,""),"")</f>
        <v/>
      </c>
      <c r="AO134" s="26" t="str">
        <f aca="false">IF(ISNUMBER($AN134),$AN134/($R134/(1+Paramètres!$B$5)),"")</f>
        <v/>
      </c>
      <c r="AP134" s="30" t="str">
        <f aca="false">IF($A134="","",IF($Y134&lt;&gt;1,"INCOMPLET",IF(NOT(ISNUMBER($AM134)),"SANS RÉF. MARCHÉ",IF($AM134&lt;=Paramètres!$B$12,"OK",IF(AND($AO134&gt;=Paramètres!$B$15,$AN134&gt;=Paramètres!$B$16),"À REVOIR","NON RENTABLE")))))</f>
        <v/>
      </c>
      <c r="AQ134" s="18" t="str">
        <f aca="false">TRIM(IF(AND($Y134=1,ISNUMBER($N134)),IF($M134&lt;$N134,"MOQ ",""),"")&amp;IF(AND($Y134=1,ISNUMBER($O134)),IF($O134&lt;$I134*$M134,"DISPO ",""),"")&amp;IF($S134="O","FICTIF ","")&amp;IF($Y134=1,IF(AND($K134="TTC",$W134&lt;&gt;"CH"),"TVA-ÉTRANGÈRE ",""),""))</f>
        <v/>
      </c>
      <c r="AR134" s="18" t="str">
        <f aca="false">IF($Y134=1,COUNTIFS($A$6:$A$205,$A134,$AK$6:$AK$205,"&lt;"&amp;$AK134,$Y$6:$Y$205,1)+1,"")</f>
        <v/>
      </c>
      <c r="AS134" s="18" t="str">
        <f aca="false">IF(ISNUMBER($AR134),$A134&amp;"|"&amp;$AR134,"")</f>
        <v/>
      </c>
      <c r="AT134" s="27" t="str">
        <f aca="false">IF($Y134=1,$AK134*$I134*$M134,"")</f>
        <v/>
      </c>
    </row>
    <row r="135" customFormat="false" ht="15" hidden="false" customHeight="false" outlineLevel="0" collapsed="false">
      <c r="A135" s="9"/>
      <c r="B135" s="9"/>
      <c r="C135" s="9"/>
      <c r="D135" s="9"/>
      <c r="E135" s="9"/>
      <c r="F135" s="9"/>
      <c r="G135" s="9"/>
      <c r="H135" s="9"/>
      <c r="I135" s="9"/>
      <c r="J135" s="13"/>
      <c r="K135" s="9"/>
      <c r="L135" s="12"/>
      <c r="M135" s="9"/>
      <c r="N135" s="9"/>
      <c r="O135" s="9"/>
      <c r="P135" s="9"/>
      <c r="Q135" s="16"/>
      <c r="R135" s="13"/>
      <c r="S135" s="9"/>
      <c r="T135" s="18" t="str">
        <f aca="false">IF($C135="","",IFERROR(INDEX(Fournisseurs!$C$5:$C$24,MATCH($C135,Fournisseurs!$A$5:$A$24,0)),""))</f>
        <v/>
      </c>
      <c r="U135" s="25" t="str">
        <f aca="false">IF($C135="","",IFERROR(INDEX(Fournisseurs!$D$5:$D$24,MATCH($C135,Fournisseurs!$A$5:$A$24,0)),""))</f>
        <v/>
      </c>
      <c r="V135" s="26" t="str">
        <f aca="false">IF($C135="","",IFERROR(INDEX(Fournisseurs!$G$5:$G$24,MATCH($C135,Fournisseurs!$A$5:$A$24,0)),""))</f>
        <v/>
      </c>
      <c r="W135" s="18" t="str">
        <f aca="false">IF($C135="","",IFERROR(INDEX(Fournisseurs!$H$5:$H$24,MATCH($C135,Fournisseurs!$A$5:$A$24,0)),""))</f>
        <v/>
      </c>
      <c r="X135" s="18" t="str">
        <f aca="false">IF($C135="","",IFERROR(INDEX(Fournisseurs!$B$5:$B$24,MATCH($C135,Fournisseurs!$A$5:$A$24,0)),""))</f>
        <v/>
      </c>
      <c r="Y135" s="18" t="str">
        <f aca="false">IF($A135="","",IF(AND($A135&lt;&gt;"",$C135&lt;&gt;"",ISNUMBER($I135),ISNUMBER($J135),ISNUMBER($M135)),IF(AND($I135&gt;=1,$J135&gt;0,OR($K135="HT",$K135="TTC"),$M135&gt;=1,IFERROR(INDEX(Fournisseurs!$T$5:$T$24,MATCH($C135,Fournisseurs!$A$5:$A$24,0)),0)=1),1,0),0))</f>
        <v/>
      </c>
      <c r="Z135" s="27" t="str">
        <f aca="false">IF($Y135=1,$J135*(1-N($L135)),"")</f>
        <v/>
      </c>
      <c r="AA135" s="28" t="str">
        <f aca="false">IF($Y135=1,IF($K135="TTC",$Z135/(1+$V135),$Z135),"")</f>
        <v/>
      </c>
      <c r="AB135" s="28" t="str">
        <f aca="false">IF($Y135=1,IF($K135="TTC",$Z135-$AA135,$AA135*$V135),"")</f>
        <v/>
      </c>
      <c r="AC135" s="27" t="str">
        <f aca="false">IF($Y135=1,$AA135*$U135*$M135,"")</f>
        <v/>
      </c>
      <c r="AD135" s="26" t="str">
        <f aca="false">IF($Y135=1,$AC135/SUMIFS($AC$6:$AC$205,$C$6:$C$205,$C135,$Y$6:$Y$205,1),"")</f>
        <v/>
      </c>
      <c r="AE135" s="28" t="str">
        <f aca="false">IF($Y135=1,(INDEX(Fournisseurs!$J$5:$J$24,MATCH($C135,Fournisseurs!$A$5:$A$24,0))+INDEX(Fournisseurs!$K$5:$K$24,MATCH($C135,Fournisseurs!$A$5:$A$24,0)))*$U135*$AD135/($I135*$M135),"")</f>
        <v/>
      </c>
      <c r="AF135" s="28" t="str">
        <f aca="false">IF($Y135=1,INDEX(Fournisseurs!$L$5:$L$24,MATCH($C135,Fournisseurs!$A$5:$A$24,0))*$AD135/($I135*$M135),"")</f>
        <v/>
      </c>
      <c r="AG135" s="28" t="str">
        <f aca="false">IF($Y135=1,$AA135*$U135/$I135,"")</f>
        <v/>
      </c>
      <c r="AH135" s="28" t="str">
        <f aca="false">IF($Y135=1,$AB135*$U135/$I135,"")</f>
        <v/>
      </c>
      <c r="AI135" s="18" t="str">
        <f aca="false">IF($Y135=1,IF(AND(Paramètres!$B$4="EFFECTIVE",$W135="CH",$AB135&gt;0),1,0),"")</f>
        <v/>
      </c>
      <c r="AJ135" s="28" t="str">
        <f aca="false">IF($Y135=1,IF($X135&lt;&gt;"CH",($AG135+$AE135+$AF135)*Paramètres!$B$14,0),"")</f>
        <v/>
      </c>
      <c r="AK135" s="29" t="str">
        <f aca="false">IF($Y135=1,$AG135+IF($AI135=1,0,$AH135)+$AE135+$AF135+IF(Paramètres!$B$4="NOT_REGISTERED",$AJ135,0),"")</f>
        <v/>
      </c>
      <c r="AL135" s="27" t="str">
        <f aca="false">IF($Y135=1,($AK135+Paramètres!$B$7+Paramètres!$B$8+Paramètres!$B$9+Paramètres!$B$10)/((1-Paramètres!$B$11)/(1+Paramètres!$B$5)-Paramètres!$B$6),"")</f>
        <v/>
      </c>
      <c r="AM135" s="26" t="str">
        <f aca="false">IF(AND($Y135=1,ISNUMBER($R135)),IF($R135&gt;0,$AL135/$R135-1,""),"")</f>
        <v/>
      </c>
      <c r="AN135" s="27" t="str">
        <f aca="false">IF(AND($Y135=1,ISNUMBER($R135)),IF($R135&gt;0,$R135/(1+Paramètres!$B$5)-$AK135-($R135*Paramètres!$B$6+Paramètres!$B$7)-Paramètres!$B$8-Paramètres!$B$9-Paramètres!$B$10,""),"")</f>
        <v/>
      </c>
      <c r="AO135" s="26" t="str">
        <f aca="false">IF(ISNUMBER($AN135),$AN135/($R135/(1+Paramètres!$B$5)),"")</f>
        <v/>
      </c>
      <c r="AP135" s="30" t="str">
        <f aca="false">IF($A135="","",IF($Y135&lt;&gt;1,"INCOMPLET",IF(NOT(ISNUMBER($AM135)),"SANS RÉF. MARCHÉ",IF($AM135&lt;=Paramètres!$B$12,"OK",IF(AND($AO135&gt;=Paramètres!$B$15,$AN135&gt;=Paramètres!$B$16),"À REVOIR","NON RENTABLE")))))</f>
        <v/>
      </c>
      <c r="AQ135" s="18" t="str">
        <f aca="false">TRIM(IF(AND($Y135=1,ISNUMBER($N135)),IF($M135&lt;$N135,"MOQ ",""),"")&amp;IF(AND($Y135=1,ISNUMBER($O135)),IF($O135&lt;$I135*$M135,"DISPO ",""),"")&amp;IF($S135="O","FICTIF ","")&amp;IF($Y135=1,IF(AND($K135="TTC",$W135&lt;&gt;"CH"),"TVA-ÉTRANGÈRE ",""),""))</f>
        <v/>
      </c>
      <c r="AR135" s="18" t="str">
        <f aca="false">IF($Y135=1,COUNTIFS($A$6:$A$205,$A135,$AK$6:$AK$205,"&lt;"&amp;$AK135,$Y$6:$Y$205,1)+1,"")</f>
        <v/>
      </c>
      <c r="AS135" s="18" t="str">
        <f aca="false">IF(ISNUMBER($AR135),$A135&amp;"|"&amp;$AR135,"")</f>
        <v/>
      </c>
      <c r="AT135" s="27" t="str">
        <f aca="false">IF($Y135=1,$AK135*$I135*$M135,"")</f>
        <v/>
      </c>
    </row>
    <row r="136" customFormat="false" ht="15" hidden="false" customHeight="false" outlineLevel="0" collapsed="false">
      <c r="A136" s="9"/>
      <c r="B136" s="9"/>
      <c r="C136" s="9"/>
      <c r="D136" s="9"/>
      <c r="E136" s="9"/>
      <c r="F136" s="9"/>
      <c r="G136" s="9"/>
      <c r="H136" s="9"/>
      <c r="I136" s="9"/>
      <c r="J136" s="13"/>
      <c r="K136" s="9"/>
      <c r="L136" s="12"/>
      <c r="M136" s="9"/>
      <c r="N136" s="9"/>
      <c r="O136" s="9"/>
      <c r="P136" s="9"/>
      <c r="Q136" s="16"/>
      <c r="R136" s="13"/>
      <c r="S136" s="9"/>
      <c r="T136" s="18" t="str">
        <f aca="false">IF($C136="","",IFERROR(INDEX(Fournisseurs!$C$5:$C$24,MATCH($C136,Fournisseurs!$A$5:$A$24,0)),""))</f>
        <v/>
      </c>
      <c r="U136" s="25" t="str">
        <f aca="false">IF($C136="","",IFERROR(INDEX(Fournisseurs!$D$5:$D$24,MATCH($C136,Fournisseurs!$A$5:$A$24,0)),""))</f>
        <v/>
      </c>
      <c r="V136" s="26" t="str">
        <f aca="false">IF($C136="","",IFERROR(INDEX(Fournisseurs!$G$5:$G$24,MATCH($C136,Fournisseurs!$A$5:$A$24,0)),""))</f>
        <v/>
      </c>
      <c r="W136" s="18" t="str">
        <f aca="false">IF($C136="","",IFERROR(INDEX(Fournisseurs!$H$5:$H$24,MATCH($C136,Fournisseurs!$A$5:$A$24,0)),""))</f>
        <v/>
      </c>
      <c r="X136" s="18" t="str">
        <f aca="false">IF($C136="","",IFERROR(INDEX(Fournisseurs!$B$5:$B$24,MATCH($C136,Fournisseurs!$A$5:$A$24,0)),""))</f>
        <v/>
      </c>
      <c r="Y136" s="18" t="str">
        <f aca="false">IF($A136="","",IF(AND($A136&lt;&gt;"",$C136&lt;&gt;"",ISNUMBER($I136),ISNUMBER($J136),ISNUMBER($M136)),IF(AND($I136&gt;=1,$J136&gt;0,OR($K136="HT",$K136="TTC"),$M136&gt;=1,IFERROR(INDEX(Fournisseurs!$T$5:$T$24,MATCH($C136,Fournisseurs!$A$5:$A$24,0)),0)=1),1,0),0))</f>
        <v/>
      </c>
      <c r="Z136" s="27" t="str">
        <f aca="false">IF($Y136=1,$J136*(1-N($L136)),"")</f>
        <v/>
      </c>
      <c r="AA136" s="28" t="str">
        <f aca="false">IF($Y136=1,IF($K136="TTC",$Z136/(1+$V136),$Z136),"")</f>
        <v/>
      </c>
      <c r="AB136" s="28" t="str">
        <f aca="false">IF($Y136=1,IF($K136="TTC",$Z136-$AA136,$AA136*$V136),"")</f>
        <v/>
      </c>
      <c r="AC136" s="27" t="str">
        <f aca="false">IF($Y136=1,$AA136*$U136*$M136,"")</f>
        <v/>
      </c>
      <c r="AD136" s="26" t="str">
        <f aca="false">IF($Y136=1,$AC136/SUMIFS($AC$6:$AC$205,$C$6:$C$205,$C136,$Y$6:$Y$205,1),"")</f>
        <v/>
      </c>
      <c r="AE136" s="28" t="str">
        <f aca="false">IF($Y136=1,(INDEX(Fournisseurs!$J$5:$J$24,MATCH($C136,Fournisseurs!$A$5:$A$24,0))+INDEX(Fournisseurs!$K$5:$K$24,MATCH($C136,Fournisseurs!$A$5:$A$24,0)))*$U136*$AD136/($I136*$M136),"")</f>
        <v/>
      </c>
      <c r="AF136" s="28" t="str">
        <f aca="false">IF($Y136=1,INDEX(Fournisseurs!$L$5:$L$24,MATCH($C136,Fournisseurs!$A$5:$A$24,0))*$AD136/($I136*$M136),"")</f>
        <v/>
      </c>
      <c r="AG136" s="28" t="str">
        <f aca="false">IF($Y136=1,$AA136*$U136/$I136,"")</f>
        <v/>
      </c>
      <c r="AH136" s="28" t="str">
        <f aca="false">IF($Y136=1,$AB136*$U136/$I136,"")</f>
        <v/>
      </c>
      <c r="AI136" s="18" t="str">
        <f aca="false">IF($Y136=1,IF(AND(Paramètres!$B$4="EFFECTIVE",$W136="CH",$AB136&gt;0),1,0),"")</f>
        <v/>
      </c>
      <c r="AJ136" s="28" t="str">
        <f aca="false">IF($Y136=1,IF($X136&lt;&gt;"CH",($AG136+$AE136+$AF136)*Paramètres!$B$14,0),"")</f>
        <v/>
      </c>
      <c r="AK136" s="29" t="str">
        <f aca="false">IF($Y136=1,$AG136+IF($AI136=1,0,$AH136)+$AE136+$AF136+IF(Paramètres!$B$4="NOT_REGISTERED",$AJ136,0),"")</f>
        <v/>
      </c>
      <c r="AL136" s="27" t="str">
        <f aca="false">IF($Y136=1,($AK136+Paramètres!$B$7+Paramètres!$B$8+Paramètres!$B$9+Paramètres!$B$10)/((1-Paramètres!$B$11)/(1+Paramètres!$B$5)-Paramètres!$B$6),"")</f>
        <v/>
      </c>
      <c r="AM136" s="26" t="str">
        <f aca="false">IF(AND($Y136=1,ISNUMBER($R136)),IF($R136&gt;0,$AL136/$R136-1,""),"")</f>
        <v/>
      </c>
      <c r="AN136" s="27" t="str">
        <f aca="false">IF(AND($Y136=1,ISNUMBER($R136)),IF($R136&gt;0,$R136/(1+Paramètres!$B$5)-$AK136-($R136*Paramètres!$B$6+Paramètres!$B$7)-Paramètres!$B$8-Paramètres!$B$9-Paramètres!$B$10,""),"")</f>
        <v/>
      </c>
      <c r="AO136" s="26" t="str">
        <f aca="false">IF(ISNUMBER($AN136),$AN136/($R136/(1+Paramètres!$B$5)),"")</f>
        <v/>
      </c>
      <c r="AP136" s="30" t="str">
        <f aca="false">IF($A136="","",IF($Y136&lt;&gt;1,"INCOMPLET",IF(NOT(ISNUMBER($AM136)),"SANS RÉF. MARCHÉ",IF($AM136&lt;=Paramètres!$B$12,"OK",IF(AND($AO136&gt;=Paramètres!$B$15,$AN136&gt;=Paramètres!$B$16),"À REVOIR","NON RENTABLE")))))</f>
        <v/>
      </c>
      <c r="AQ136" s="18" t="str">
        <f aca="false">TRIM(IF(AND($Y136=1,ISNUMBER($N136)),IF($M136&lt;$N136,"MOQ ",""),"")&amp;IF(AND($Y136=1,ISNUMBER($O136)),IF($O136&lt;$I136*$M136,"DISPO ",""),"")&amp;IF($S136="O","FICTIF ","")&amp;IF($Y136=1,IF(AND($K136="TTC",$W136&lt;&gt;"CH"),"TVA-ÉTRANGÈRE ",""),""))</f>
        <v/>
      </c>
      <c r="AR136" s="18" t="str">
        <f aca="false">IF($Y136=1,COUNTIFS($A$6:$A$205,$A136,$AK$6:$AK$205,"&lt;"&amp;$AK136,$Y$6:$Y$205,1)+1,"")</f>
        <v/>
      </c>
      <c r="AS136" s="18" t="str">
        <f aca="false">IF(ISNUMBER($AR136),$A136&amp;"|"&amp;$AR136,"")</f>
        <v/>
      </c>
      <c r="AT136" s="27" t="str">
        <f aca="false">IF($Y136=1,$AK136*$I136*$M136,"")</f>
        <v/>
      </c>
    </row>
    <row r="137" customFormat="false" ht="15" hidden="false" customHeight="false" outlineLevel="0" collapsed="false">
      <c r="A137" s="9"/>
      <c r="B137" s="9"/>
      <c r="C137" s="9"/>
      <c r="D137" s="9"/>
      <c r="E137" s="9"/>
      <c r="F137" s="9"/>
      <c r="G137" s="9"/>
      <c r="H137" s="9"/>
      <c r="I137" s="9"/>
      <c r="J137" s="13"/>
      <c r="K137" s="9"/>
      <c r="L137" s="12"/>
      <c r="M137" s="9"/>
      <c r="N137" s="9"/>
      <c r="O137" s="9"/>
      <c r="P137" s="9"/>
      <c r="Q137" s="16"/>
      <c r="R137" s="13"/>
      <c r="S137" s="9"/>
      <c r="T137" s="18" t="str">
        <f aca="false">IF($C137="","",IFERROR(INDEX(Fournisseurs!$C$5:$C$24,MATCH($C137,Fournisseurs!$A$5:$A$24,0)),""))</f>
        <v/>
      </c>
      <c r="U137" s="25" t="str">
        <f aca="false">IF($C137="","",IFERROR(INDEX(Fournisseurs!$D$5:$D$24,MATCH($C137,Fournisseurs!$A$5:$A$24,0)),""))</f>
        <v/>
      </c>
      <c r="V137" s="26" t="str">
        <f aca="false">IF($C137="","",IFERROR(INDEX(Fournisseurs!$G$5:$G$24,MATCH($C137,Fournisseurs!$A$5:$A$24,0)),""))</f>
        <v/>
      </c>
      <c r="W137" s="18" t="str">
        <f aca="false">IF($C137="","",IFERROR(INDEX(Fournisseurs!$H$5:$H$24,MATCH($C137,Fournisseurs!$A$5:$A$24,0)),""))</f>
        <v/>
      </c>
      <c r="X137" s="18" t="str">
        <f aca="false">IF($C137="","",IFERROR(INDEX(Fournisseurs!$B$5:$B$24,MATCH($C137,Fournisseurs!$A$5:$A$24,0)),""))</f>
        <v/>
      </c>
      <c r="Y137" s="18" t="str">
        <f aca="false">IF($A137="","",IF(AND($A137&lt;&gt;"",$C137&lt;&gt;"",ISNUMBER($I137),ISNUMBER($J137),ISNUMBER($M137)),IF(AND($I137&gt;=1,$J137&gt;0,OR($K137="HT",$K137="TTC"),$M137&gt;=1,IFERROR(INDEX(Fournisseurs!$T$5:$T$24,MATCH($C137,Fournisseurs!$A$5:$A$24,0)),0)=1),1,0),0))</f>
        <v/>
      </c>
      <c r="Z137" s="27" t="str">
        <f aca="false">IF($Y137=1,$J137*(1-N($L137)),"")</f>
        <v/>
      </c>
      <c r="AA137" s="28" t="str">
        <f aca="false">IF($Y137=1,IF($K137="TTC",$Z137/(1+$V137),$Z137),"")</f>
        <v/>
      </c>
      <c r="AB137" s="28" t="str">
        <f aca="false">IF($Y137=1,IF($K137="TTC",$Z137-$AA137,$AA137*$V137),"")</f>
        <v/>
      </c>
      <c r="AC137" s="27" t="str">
        <f aca="false">IF($Y137=1,$AA137*$U137*$M137,"")</f>
        <v/>
      </c>
      <c r="AD137" s="26" t="str">
        <f aca="false">IF($Y137=1,$AC137/SUMIFS($AC$6:$AC$205,$C$6:$C$205,$C137,$Y$6:$Y$205,1),"")</f>
        <v/>
      </c>
      <c r="AE137" s="28" t="str">
        <f aca="false">IF($Y137=1,(INDEX(Fournisseurs!$J$5:$J$24,MATCH($C137,Fournisseurs!$A$5:$A$24,0))+INDEX(Fournisseurs!$K$5:$K$24,MATCH($C137,Fournisseurs!$A$5:$A$24,0)))*$U137*$AD137/($I137*$M137),"")</f>
        <v/>
      </c>
      <c r="AF137" s="28" t="str">
        <f aca="false">IF($Y137=1,INDEX(Fournisseurs!$L$5:$L$24,MATCH($C137,Fournisseurs!$A$5:$A$24,0))*$AD137/($I137*$M137),"")</f>
        <v/>
      </c>
      <c r="AG137" s="28" t="str">
        <f aca="false">IF($Y137=1,$AA137*$U137/$I137,"")</f>
        <v/>
      </c>
      <c r="AH137" s="28" t="str">
        <f aca="false">IF($Y137=1,$AB137*$U137/$I137,"")</f>
        <v/>
      </c>
      <c r="AI137" s="18" t="str">
        <f aca="false">IF($Y137=1,IF(AND(Paramètres!$B$4="EFFECTIVE",$W137="CH",$AB137&gt;0),1,0),"")</f>
        <v/>
      </c>
      <c r="AJ137" s="28" t="str">
        <f aca="false">IF($Y137=1,IF($X137&lt;&gt;"CH",($AG137+$AE137+$AF137)*Paramètres!$B$14,0),"")</f>
        <v/>
      </c>
      <c r="AK137" s="29" t="str">
        <f aca="false">IF($Y137=1,$AG137+IF($AI137=1,0,$AH137)+$AE137+$AF137+IF(Paramètres!$B$4="NOT_REGISTERED",$AJ137,0),"")</f>
        <v/>
      </c>
      <c r="AL137" s="27" t="str">
        <f aca="false">IF($Y137=1,($AK137+Paramètres!$B$7+Paramètres!$B$8+Paramètres!$B$9+Paramètres!$B$10)/((1-Paramètres!$B$11)/(1+Paramètres!$B$5)-Paramètres!$B$6),"")</f>
        <v/>
      </c>
      <c r="AM137" s="26" t="str">
        <f aca="false">IF(AND($Y137=1,ISNUMBER($R137)),IF($R137&gt;0,$AL137/$R137-1,""),"")</f>
        <v/>
      </c>
      <c r="AN137" s="27" t="str">
        <f aca="false">IF(AND($Y137=1,ISNUMBER($R137)),IF($R137&gt;0,$R137/(1+Paramètres!$B$5)-$AK137-($R137*Paramètres!$B$6+Paramètres!$B$7)-Paramètres!$B$8-Paramètres!$B$9-Paramètres!$B$10,""),"")</f>
        <v/>
      </c>
      <c r="AO137" s="26" t="str">
        <f aca="false">IF(ISNUMBER($AN137),$AN137/($R137/(1+Paramètres!$B$5)),"")</f>
        <v/>
      </c>
      <c r="AP137" s="30" t="str">
        <f aca="false">IF($A137="","",IF($Y137&lt;&gt;1,"INCOMPLET",IF(NOT(ISNUMBER($AM137)),"SANS RÉF. MARCHÉ",IF($AM137&lt;=Paramètres!$B$12,"OK",IF(AND($AO137&gt;=Paramètres!$B$15,$AN137&gt;=Paramètres!$B$16),"À REVOIR","NON RENTABLE")))))</f>
        <v/>
      </c>
      <c r="AQ137" s="18" t="str">
        <f aca="false">TRIM(IF(AND($Y137=1,ISNUMBER($N137)),IF($M137&lt;$N137,"MOQ ",""),"")&amp;IF(AND($Y137=1,ISNUMBER($O137)),IF($O137&lt;$I137*$M137,"DISPO ",""),"")&amp;IF($S137="O","FICTIF ","")&amp;IF($Y137=1,IF(AND($K137="TTC",$W137&lt;&gt;"CH"),"TVA-ÉTRANGÈRE ",""),""))</f>
        <v/>
      </c>
      <c r="AR137" s="18" t="str">
        <f aca="false">IF($Y137=1,COUNTIFS($A$6:$A$205,$A137,$AK$6:$AK$205,"&lt;"&amp;$AK137,$Y$6:$Y$205,1)+1,"")</f>
        <v/>
      </c>
      <c r="AS137" s="18" t="str">
        <f aca="false">IF(ISNUMBER($AR137),$A137&amp;"|"&amp;$AR137,"")</f>
        <v/>
      </c>
      <c r="AT137" s="27" t="str">
        <f aca="false">IF($Y137=1,$AK137*$I137*$M137,"")</f>
        <v/>
      </c>
    </row>
    <row r="138" customFormat="false" ht="15" hidden="false" customHeight="false" outlineLevel="0" collapsed="false">
      <c r="A138" s="9"/>
      <c r="B138" s="9"/>
      <c r="C138" s="9"/>
      <c r="D138" s="9"/>
      <c r="E138" s="9"/>
      <c r="F138" s="9"/>
      <c r="G138" s="9"/>
      <c r="H138" s="9"/>
      <c r="I138" s="9"/>
      <c r="J138" s="13"/>
      <c r="K138" s="9"/>
      <c r="L138" s="12"/>
      <c r="M138" s="9"/>
      <c r="N138" s="9"/>
      <c r="O138" s="9"/>
      <c r="P138" s="9"/>
      <c r="Q138" s="16"/>
      <c r="R138" s="13"/>
      <c r="S138" s="9"/>
      <c r="T138" s="18" t="str">
        <f aca="false">IF($C138="","",IFERROR(INDEX(Fournisseurs!$C$5:$C$24,MATCH($C138,Fournisseurs!$A$5:$A$24,0)),""))</f>
        <v/>
      </c>
      <c r="U138" s="25" t="str">
        <f aca="false">IF($C138="","",IFERROR(INDEX(Fournisseurs!$D$5:$D$24,MATCH($C138,Fournisseurs!$A$5:$A$24,0)),""))</f>
        <v/>
      </c>
      <c r="V138" s="26" t="str">
        <f aca="false">IF($C138="","",IFERROR(INDEX(Fournisseurs!$G$5:$G$24,MATCH($C138,Fournisseurs!$A$5:$A$24,0)),""))</f>
        <v/>
      </c>
      <c r="W138" s="18" t="str">
        <f aca="false">IF($C138="","",IFERROR(INDEX(Fournisseurs!$H$5:$H$24,MATCH($C138,Fournisseurs!$A$5:$A$24,0)),""))</f>
        <v/>
      </c>
      <c r="X138" s="18" t="str">
        <f aca="false">IF($C138="","",IFERROR(INDEX(Fournisseurs!$B$5:$B$24,MATCH($C138,Fournisseurs!$A$5:$A$24,0)),""))</f>
        <v/>
      </c>
      <c r="Y138" s="18" t="str">
        <f aca="false">IF($A138="","",IF(AND($A138&lt;&gt;"",$C138&lt;&gt;"",ISNUMBER($I138),ISNUMBER($J138),ISNUMBER($M138)),IF(AND($I138&gt;=1,$J138&gt;0,OR($K138="HT",$K138="TTC"),$M138&gt;=1,IFERROR(INDEX(Fournisseurs!$T$5:$T$24,MATCH($C138,Fournisseurs!$A$5:$A$24,0)),0)=1),1,0),0))</f>
        <v/>
      </c>
      <c r="Z138" s="27" t="str">
        <f aca="false">IF($Y138=1,$J138*(1-N($L138)),"")</f>
        <v/>
      </c>
      <c r="AA138" s="28" t="str">
        <f aca="false">IF($Y138=1,IF($K138="TTC",$Z138/(1+$V138),$Z138),"")</f>
        <v/>
      </c>
      <c r="AB138" s="28" t="str">
        <f aca="false">IF($Y138=1,IF($K138="TTC",$Z138-$AA138,$AA138*$V138),"")</f>
        <v/>
      </c>
      <c r="AC138" s="27" t="str">
        <f aca="false">IF($Y138=1,$AA138*$U138*$M138,"")</f>
        <v/>
      </c>
      <c r="AD138" s="26" t="str">
        <f aca="false">IF($Y138=1,$AC138/SUMIFS($AC$6:$AC$205,$C$6:$C$205,$C138,$Y$6:$Y$205,1),"")</f>
        <v/>
      </c>
      <c r="AE138" s="28" t="str">
        <f aca="false">IF($Y138=1,(INDEX(Fournisseurs!$J$5:$J$24,MATCH($C138,Fournisseurs!$A$5:$A$24,0))+INDEX(Fournisseurs!$K$5:$K$24,MATCH($C138,Fournisseurs!$A$5:$A$24,0)))*$U138*$AD138/($I138*$M138),"")</f>
        <v/>
      </c>
      <c r="AF138" s="28" t="str">
        <f aca="false">IF($Y138=1,INDEX(Fournisseurs!$L$5:$L$24,MATCH($C138,Fournisseurs!$A$5:$A$24,0))*$AD138/($I138*$M138),"")</f>
        <v/>
      </c>
      <c r="AG138" s="28" t="str">
        <f aca="false">IF($Y138=1,$AA138*$U138/$I138,"")</f>
        <v/>
      </c>
      <c r="AH138" s="28" t="str">
        <f aca="false">IF($Y138=1,$AB138*$U138/$I138,"")</f>
        <v/>
      </c>
      <c r="AI138" s="18" t="str">
        <f aca="false">IF($Y138=1,IF(AND(Paramètres!$B$4="EFFECTIVE",$W138="CH",$AB138&gt;0),1,0),"")</f>
        <v/>
      </c>
      <c r="AJ138" s="28" t="str">
        <f aca="false">IF($Y138=1,IF($X138&lt;&gt;"CH",($AG138+$AE138+$AF138)*Paramètres!$B$14,0),"")</f>
        <v/>
      </c>
      <c r="AK138" s="29" t="str">
        <f aca="false">IF($Y138=1,$AG138+IF($AI138=1,0,$AH138)+$AE138+$AF138+IF(Paramètres!$B$4="NOT_REGISTERED",$AJ138,0),"")</f>
        <v/>
      </c>
      <c r="AL138" s="27" t="str">
        <f aca="false">IF($Y138=1,($AK138+Paramètres!$B$7+Paramètres!$B$8+Paramètres!$B$9+Paramètres!$B$10)/((1-Paramètres!$B$11)/(1+Paramètres!$B$5)-Paramètres!$B$6),"")</f>
        <v/>
      </c>
      <c r="AM138" s="26" t="str">
        <f aca="false">IF(AND($Y138=1,ISNUMBER($R138)),IF($R138&gt;0,$AL138/$R138-1,""),"")</f>
        <v/>
      </c>
      <c r="AN138" s="27" t="str">
        <f aca="false">IF(AND($Y138=1,ISNUMBER($R138)),IF($R138&gt;0,$R138/(1+Paramètres!$B$5)-$AK138-($R138*Paramètres!$B$6+Paramètres!$B$7)-Paramètres!$B$8-Paramètres!$B$9-Paramètres!$B$10,""),"")</f>
        <v/>
      </c>
      <c r="AO138" s="26" t="str">
        <f aca="false">IF(ISNUMBER($AN138),$AN138/($R138/(1+Paramètres!$B$5)),"")</f>
        <v/>
      </c>
      <c r="AP138" s="30" t="str">
        <f aca="false">IF($A138="","",IF($Y138&lt;&gt;1,"INCOMPLET",IF(NOT(ISNUMBER($AM138)),"SANS RÉF. MARCHÉ",IF($AM138&lt;=Paramètres!$B$12,"OK",IF(AND($AO138&gt;=Paramètres!$B$15,$AN138&gt;=Paramètres!$B$16),"À REVOIR","NON RENTABLE")))))</f>
        <v/>
      </c>
      <c r="AQ138" s="18" t="str">
        <f aca="false">TRIM(IF(AND($Y138=1,ISNUMBER($N138)),IF($M138&lt;$N138,"MOQ ",""),"")&amp;IF(AND($Y138=1,ISNUMBER($O138)),IF($O138&lt;$I138*$M138,"DISPO ",""),"")&amp;IF($S138="O","FICTIF ","")&amp;IF($Y138=1,IF(AND($K138="TTC",$W138&lt;&gt;"CH"),"TVA-ÉTRANGÈRE ",""),""))</f>
        <v/>
      </c>
      <c r="AR138" s="18" t="str">
        <f aca="false">IF($Y138=1,COUNTIFS($A$6:$A$205,$A138,$AK$6:$AK$205,"&lt;"&amp;$AK138,$Y$6:$Y$205,1)+1,"")</f>
        <v/>
      </c>
      <c r="AS138" s="18" t="str">
        <f aca="false">IF(ISNUMBER($AR138),$A138&amp;"|"&amp;$AR138,"")</f>
        <v/>
      </c>
      <c r="AT138" s="27" t="str">
        <f aca="false">IF($Y138=1,$AK138*$I138*$M138,"")</f>
        <v/>
      </c>
    </row>
    <row r="139" customFormat="false" ht="15" hidden="false" customHeight="false" outlineLevel="0" collapsed="false">
      <c r="A139" s="9"/>
      <c r="B139" s="9"/>
      <c r="C139" s="9"/>
      <c r="D139" s="9"/>
      <c r="E139" s="9"/>
      <c r="F139" s="9"/>
      <c r="G139" s="9"/>
      <c r="H139" s="9"/>
      <c r="I139" s="9"/>
      <c r="J139" s="13"/>
      <c r="K139" s="9"/>
      <c r="L139" s="12"/>
      <c r="M139" s="9"/>
      <c r="N139" s="9"/>
      <c r="O139" s="9"/>
      <c r="P139" s="9"/>
      <c r="Q139" s="16"/>
      <c r="R139" s="13"/>
      <c r="S139" s="9"/>
      <c r="T139" s="18" t="str">
        <f aca="false">IF($C139="","",IFERROR(INDEX(Fournisseurs!$C$5:$C$24,MATCH($C139,Fournisseurs!$A$5:$A$24,0)),""))</f>
        <v/>
      </c>
      <c r="U139" s="25" t="str">
        <f aca="false">IF($C139="","",IFERROR(INDEX(Fournisseurs!$D$5:$D$24,MATCH($C139,Fournisseurs!$A$5:$A$24,0)),""))</f>
        <v/>
      </c>
      <c r="V139" s="26" t="str">
        <f aca="false">IF($C139="","",IFERROR(INDEX(Fournisseurs!$G$5:$G$24,MATCH($C139,Fournisseurs!$A$5:$A$24,0)),""))</f>
        <v/>
      </c>
      <c r="W139" s="18" t="str">
        <f aca="false">IF($C139="","",IFERROR(INDEX(Fournisseurs!$H$5:$H$24,MATCH($C139,Fournisseurs!$A$5:$A$24,0)),""))</f>
        <v/>
      </c>
      <c r="X139" s="18" t="str">
        <f aca="false">IF($C139="","",IFERROR(INDEX(Fournisseurs!$B$5:$B$24,MATCH($C139,Fournisseurs!$A$5:$A$24,0)),""))</f>
        <v/>
      </c>
      <c r="Y139" s="18" t="str">
        <f aca="false">IF($A139="","",IF(AND($A139&lt;&gt;"",$C139&lt;&gt;"",ISNUMBER($I139),ISNUMBER($J139),ISNUMBER($M139)),IF(AND($I139&gt;=1,$J139&gt;0,OR($K139="HT",$K139="TTC"),$M139&gt;=1,IFERROR(INDEX(Fournisseurs!$T$5:$T$24,MATCH($C139,Fournisseurs!$A$5:$A$24,0)),0)=1),1,0),0))</f>
        <v/>
      </c>
      <c r="Z139" s="27" t="str">
        <f aca="false">IF($Y139=1,$J139*(1-N($L139)),"")</f>
        <v/>
      </c>
      <c r="AA139" s="28" t="str">
        <f aca="false">IF($Y139=1,IF($K139="TTC",$Z139/(1+$V139),$Z139),"")</f>
        <v/>
      </c>
      <c r="AB139" s="28" t="str">
        <f aca="false">IF($Y139=1,IF($K139="TTC",$Z139-$AA139,$AA139*$V139),"")</f>
        <v/>
      </c>
      <c r="AC139" s="27" t="str">
        <f aca="false">IF($Y139=1,$AA139*$U139*$M139,"")</f>
        <v/>
      </c>
      <c r="AD139" s="26" t="str">
        <f aca="false">IF($Y139=1,$AC139/SUMIFS($AC$6:$AC$205,$C$6:$C$205,$C139,$Y$6:$Y$205,1),"")</f>
        <v/>
      </c>
      <c r="AE139" s="28" t="str">
        <f aca="false">IF($Y139=1,(INDEX(Fournisseurs!$J$5:$J$24,MATCH($C139,Fournisseurs!$A$5:$A$24,0))+INDEX(Fournisseurs!$K$5:$K$24,MATCH($C139,Fournisseurs!$A$5:$A$24,0)))*$U139*$AD139/($I139*$M139),"")</f>
        <v/>
      </c>
      <c r="AF139" s="28" t="str">
        <f aca="false">IF($Y139=1,INDEX(Fournisseurs!$L$5:$L$24,MATCH($C139,Fournisseurs!$A$5:$A$24,0))*$AD139/($I139*$M139),"")</f>
        <v/>
      </c>
      <c r="AG139" s="28" t="str">
        <f aca="false">IF($Y139=1,$AA139*$U139/$I139,"")</f>
        <v/>
      </c>
      <c r="AH139" s="28" t="str">
        <f aca="false">IF($Y139=1,$AB139*$U139/$I139,"")</f>
        <v/>
      </c>
      <c r="AI139" s="18" t="str">
        <f aca="false">IF($Y139=1,IF(AND(Paramètres!$B$4="EFFECTIVE",$W139="CH",$AB139&gt;0),1,0),"")</f>
        <v/>
      </c>
      <c r="AJ139" s="28" t="str">
        <f aca="false">IF($Y139=1,IF($X139&lt;&gt;"CH",($AG139+$AE139+$AF139)*Paramètres!$B$14,0),"")</f>
        <v/>
      </c>
      <c r="AK139" s="29" t="str">
        <f aca="false">IF($Y139=1,$AG139+IF($AI139=1,0,$AH139)+$AE139+$AF139+IF(Paramètres!$B$4="NOT_REGISTERED",$AJ139,0),"")</f>
        <v/>
      </c>
      <c r="AL139" s="27" t="str">
        <f aca="false">IF($Y139=1,($AK139+Paramètres!$B$7+Paramètres!$B$8+Paramètres!$B$9+Paramètres!$B$10)/((1-Paramètres!$B$11)/(1+Paramètres!$B$5)-Paramètres!$B$6),"")</f>
        <v/>
      </c>
      <c r="AM139" s="26" t="str">
        <f aca="false">IF(AND($Y139=1,ISNUMBER($R139)),IF($R139&gt;0,$AL139/$R139-1,""),"")</f>
        <v/>
      </c>
      <c r="AN139" s="27" t="str">
        <f aca="false">IF(AND($Y139=1,ISNUMBER($R139)),IF($R139&gt;0,$R139/(1+Paramètres!$B$5)-$AK139-($R139*Paramètres!$B$6+Paramètres!$B$7)-Paramètres!$B$8-Paramètres!$B$9-Paramètres!$B$10,""),"")</f>
        <v/>
      </c>
      <c r="AO139" s="26" t="str">
        <f aca="false">IF(ISNUMBER($AN139),$AN139/($R139/(1+Paramètres!$B$5)),"")</f>
        <v/>
      </c>
      <c r="AP139" s="30" t="str">
        <f aca="false">IF($A139="","",IF($Y139&lt;&gt;1,"INCOMPLET",IF(NOT(ISNUMBER($AM139)),"SANS RÉF. MARCHÉ",IF($AM139&lt;=Paramètres!$B$12,"OK",IF(AND($AO139&gt;=Paramètres!$B$15,$AN139&gt;=Paramètres!$B$16),"À REVOIR","NON RENTABLE")))))</f>
        <v/>
      </c>
      <c r="AQ139" s="18" t="str">
        <f aca="false">TRIM(IF(AND($Y139=1,ISNUMBER($N139)),IF($M139&lt;$N139,"MOQ ",""),"")&amp;IF(AND($Y139=1,ISNUMBER($O139)),IF($O139&lt;$I139*$M139,"DISPO ",""),"")&amp;IF($S139="O","FICTIF ","")&amp;IF($Y139=1,IF(AND($K139="TTC",$W139&lt;&gt;"CH"),"TVA-ÉTRANGÈRE ",""),""))</f>
        <v/>
      </c>
      <c r="AR139" s="18" t="str">
        <f aca="false">IF($Y139=1,COUNTIFS($A$6:$A$205,$A139,$AK$6:$AK$205,"&lt;"&amp;$AK139,$Y$6:$Y$205,1)+1,"")</f>
        <v/>
      </c>
      <c r="AS139" s="18" t="str">
        <f aca="false">IF(ISNUMBER($AR139),$A139&amp;"|"&amp;$AR139,"")</f>
        <v/>
      </c>
      <c r="AT139" s="27" t="str">
        <f aca="false">IF($Y139=1,$AK139*$I139*$M139,"")</f>
        <v/>
      </c>
    </row>
    <row r="140" customFormat="false" ht="15" hidden="false" customHeight="false" outlineLevel="0" collapsed="false">
      <c r="A140" s="9"/>
      <c r="B140" s="9"/>
      <c r="C140" s="9"/>
      <c r="D140" s="9"/>
      <c r="E140" s="9"/>
      <c r="F140" s="9"/>
      <c r="G140" s="9"/>
      <c r="H140" s="9"/>
      <c r="I140" s="9"/>
      <c r="J140" s="13"/>
      <c r="K140" s="9"/>
      <c r="L140" s="12"/>
      <c r="M140" s="9"/>
      <c r="N140" s="9"/>
      <c r="O140" s="9"/>
      <c r="P140" s="9"/>
      <c r="Q140" s="16"/>
      <c r="R140" s="13"/>
      <c r="S140" s="9"/>
      <c r="T140" s="18" t="str">
        <f aca="false">IF($C140="","",IFERROR(INDEX(Fournisseurs!$C$5:$C$24,MATCH($C140,Fournisseurs!$A$5:$A$24,0)),""))</f>
        <v/>
      </c>
      <c r="U140" s="25" t="str">
        <f aca="false">IF($C140="","",IFERROR(INDEX(Fournisseurs!$D$5:$D$24,MATCH($C140,Fournisseurs!$A$5:$A$24,0)),""))</f>
        <v/>
      </c>
      <c r="V140" s="26" t="str">
        <f aca="false">IF($C140="","",IFERROR(INDEX(Fournisseurs!$G$5:$G$24,MATCH($C140,Fournisseurs!$A$5:$A$24,0)),""))</f>
        <v/>
      </c>
      <c r="W140" s="18" t="str">
        <f aca="false">IF($C140="","",IFERROR(INDEX(Fournisseurs!$H$5:$H$24,MATCH($C140,Fournisseurs!$A$5:$A$24,0)),""))</f>
        <v/>
      </c>
      <c r="X140" s="18" t="str">
        <f aca="false">IF($C140="","",IFERROR(INDEX(Fournisseurs!$B$5:$B$24,MATCH($C140,Fournisseurs!$A$5:$A$24,0)),""))</f>
        <v/>
      </c>
      <c r="Y140" s="18" t="str">
        <f aca="false">IF($A140="","",IF(AND($A140&lt;&gt;"",$C140&lt;&gt;"",ISNUMBER($I140),ISNUMBER($J140),ISNUMBER($M140)),IF(AND($I140&gt;=1,$J140&gt;0,OR($K140="HT",$K140="TTC"),$M140&gt;=1,IFERROR(INDEX(Fournisseurs!$T$5:$T$24,MATCH($C140,Fournisseurs!$A$5:$A$24,0)),0)=1),1,0),0))</f>
        <v/>
      </c>
      <c r="Z140" s="27" t="str">
        <f aca="false">IF($Y140=1,$J140*(1-N($L140)),"")</f>
        <v/>
      </c>
      <c r="AA140" s="28" t="str">
        <f aca="false">IF($Y140=1,IF($K140="TTC",$Z140/(1+$V140),$Z140),"")</f>
        <v/>
      </c>
      <c r="AB140" s="28" t="str">
        <f aca="false">IF($Y140=1,IF($K140="TTC",$Z140-$AA140,$AA140*$V140),"")</f>
        <v/>
      </c>
      <c r="AC140" s="27" t="str">
        <f aca="false">IF($Y140=1,$AA140*$U140*$M140,"")</f>
        <v/>
      </c>
      <c r="AD140" s="26" t="str">
        <f aca="false">IF($Y140=1,$AC140/SUMIFS($AC$6:$AC$205,$C$6:$C$205,$C140,$Y$6:$Y$205,1),"")</f>
        <v/>
      </c>
      <c r="AE140" s="28" t="str">
        <f aca="false">IF($Y140=1,(INDEX(Fournisseurs!$J$5:$J$24,MATCH($C140,Fournisseurs!$A$5:$A$24,0))+INDEX(Fournisseurs!$K$5:$K$24,MATCH($C140,Fournisseurs!$A$5:$A$24,0)))*$U140*$AD140/($I140*$M140),"")</f>
        <v/>
      </c>
      <c r="AF140" s="28" t="str">
        <f aca="false">IF($Y140=1,INDEX(Fournisseurs!$L$5:$L$24,MATCH($C140,Fournisseurs!$A$5:$A$24,0))*$AD140/($I140*$M140),"")</f>
        <v/>
      </c>
      <c r="AG140" s="28" t="str">
        <f aca="false">IF($Y140=1,$AA140*$U140/$I140,"")</f>
        <v/>
      </c>
      <c r="AH140" s="28" t="str">
        <f aca="false">IF($Y140=1,$AB140*$U140/$I140,"")</f>
        <v/>
      </c>
      <c r="AI140" s="18" t="str">
        <f aca="false">IF($Y140=1,IF(AND(Paramètres!$B$4="EFFECTIVE",$W140="CH",$AB140&gt;0),1,0),"")</f>
        <v/>
      </c>
      <c r="AJ140" s="28" t="str">
        <f aca="false">IF($Y140=1,IF($X140&lt;&gt;"CH",($AG140+$AE140+$AF140)*Paramètres!$B$14,0),"")</f>
        <v/>
      </c>
      <c r="AK140" s="29" t="str">
        <f aca="false">IF($Y140=1,$AG140+IF($AI140=1,0,$AH140)+$AE140+$AF140+IF(Paramètres!$B$4="NOT_REGISTERED",$AJ140,0),"")</f>
        <v/>
      </c>
      <c r="AL140" s="27" t="str">
        <f aca="false">IF($Y140=1,($AK140+Paramètres!$B$7+Paramètres!$B$8+Paramètres!$B$9+Paramètres!$B$10)/((1-Paramètres!$B$11)/(1+Paramètres!$B$5)-Paramètres!$B$6),"")</f>
        <v/>
      </c>
      <c r="AM140" s="26" t="str">
        <f aca="false">IF(AND($Y140=1,ISNUMBER($R140)),IF($R140&gt;0,$AL140/$R140-1,""),"")</f>
        <v/>
      </c>
      <c r="AN140" s="27" t="str">
        <f aca="false">IF(AND($Y140=1,ISNUMBER($R140)),IF($R140&gt;0,$R140/(1+Paramètres!$B$5)-$AK140-($R140*Paramètres!$B$6+Paramètres!$B$7)-Paramètres!$B$8-Paramètres!$B$9-Paramètres!$B$10,""),"")</f>
        <v/>
      </c>
      <c r="AO140" s="26" t="str">
        <f aca="false">IF(ISNUMBER($AN140),$AN140/($R140/(1+Paramètres!$B$5)),"")</f>
        <v/>
      </c>
      <c r="AP140" s="30" t="str">
        <f aca="false">IF($A140="","",IF($Y140&lt;&gt;1,"INCOMPLET",IF(NOT(ISNUMBER($AM140)),"SANS RÉF. MARCHÉ",IF($AM140&lt;=Paramètres!$B$12,"OK",IF(AND($AO140&gt;=Paramètres!$B$15,$AN140&gt;=Paramètres!$B$16),"À REVOIR","NON RENTABLE")))))</f>
        <v/>
      </c>
      <c r="AQ140" s="18" t="str">
        <f aca="false">TRIM(IF(AND($Y140=1,ISNUMBER($N140)),IF($M140&lt;$N140,"MOQ ",""),"")&amp;IF(AND($Y140=1,ISNUMBER($O140)),IF($O140&lt;$I140*$M140,"DISPO ",""),"")&amp;IF($S140="O","FICTIF ","")&amp;IF($Y140=1,IF(AND($K140="TTC",$W140&lt;&gt;"CH"),"TVA-ÉTRANGÈRE ",""),""))</f>
        <v/>
      </c>
      <c r="AR140" s="18" t="str">
        <f aca="false">IF($Y140=1,COUNTIFS($A$6:$A$205,$A140,$AK$6:$AK$205,"&lt;"&amp;$AK140,$Y$6:$Y$205,1)+1,"")</f>
        <v/>
      </c>
      <c r="AS140" s="18" t="str">
        <f aca="false">IF(ISNUMBER($AR140),$A140&amp;"|"&amp;$AR140,"")</f>
        <v/>
      </c>
      <c r="AT140" s="27" t="str">
        <f aca="false">IF($Y140=1,$AK140*$I140*$M140,"")</f>
        <v/>
      </c>
    </row>
    <row r="141" customFormat="false" ht="15" hidden="false" customHeight="false" outlineLevel="0" collapsed="false">
      <c r="A141" s="9"/>
      <c r="B141" s="9"/>
      <c r="C141" s="9"/>
      <c r="D141" s="9"/>
      <c r="E141" s="9"/>
      <c r="F141" s="9"/>
      <c r="G141" s="9"/>
      <c r="H141" s="9"/>
      <c r="I141" s="9"/>
      <c r="J141" s="13"/>
      <c r="K141" s="9"/>
      <c r="L141" s="12"/>
      <c r="M141" s="9"/>
      <c r="N141" s="9"/>
      <c r="O141" s="9"/>
      <c r="P141" s="9"/>
      <c r="Q141" s="16"/>
      <c r="R141" s="13"/>
      <c r="S141" s="9"/>
      <c r="T141" s="18" t="str">
        <f aca="false">IF($C141="","",IFERROR(INDEX(Fournisseurs!$C$5:$C$24,MATCH($C141,Fournisseurs!$A$5:$A$24,0)),""))</f>
        <v/>
      </c>
      <c r="U141" s="25" t="str">
        <f aca="false">IF($C141="","",IFERROR(INDEX(Fournisseurs!$D$5:$D$24,MATCH($C141,Fournisseurs!$A$5:$A$24,0)),""))</f>
        <v/>
      </c>
      <c r="V141" s="26" t="str">
        <f aca="false">IF($C141="","",IFERROR(INDEX(Fournisseurs!$G$5:$G$24,MATCH($C141,Fournisseurs!$A$5:$A$24,0)),""))</f>
        <v/>
      </c>
      <c r="W141" s="18" t="str">
        <f aca="false">IF($C141="","",IFERROR(INDEX(Fournisseurs!$H$5:$H$24,MATCH($C141,Fournisseurs!$A$5:$A$24,0)),""))</f>
        <v/>
      </c>
      <c r="X141" s="18" t="str">
        <f aca="false">IF($C141="","",IFERROR(INDEX(Fournisseurs!$B$5:$B$24,MATCH($C141,Fournisseurs!$A$5:$A$24,0)),""))</f>
        <v/>
      </c>
      <c r="Y141" s="18" t="str">
        <f aca="false">IF($A141="","",IF(AND($A141&lt;&gt;"",$C141&lt;&gt;"",ISNUMBER($I141),ISNUMBER($J141),ISNUMBER($M141)),IF(AND($I141&gt;=1,$J141&gt;0,OR($K141="HT",$K141="TTC"),$M141&gt;=1,IFERROR(INDEX(Fournisseurs!$T$5:$T$24,MATCH($C141,Fournisseurs!$A$5:$A$24,0)),0)=1),1,0),0))</f>
        <v/>
      </c>
      <c r="Z141" s="27" t="str">
        <f aca="false">IF($Y141=1,$J141*(1-N($L141)),"")</f>
        <v/>
      </c>
      <c r="AA141" s="28" t="str">
        <f aca="false">IF($Y141=1,IF($K141="TTC",$Z141/(1+$V141),$Z141),"")</f>
        <v/>
      </c>
      <c r="AB141" s="28" t="str">
        <f aca="false">IF($Y141=1,IF($K141="TTC",$Z141-$AA141,$AA141*$V141),"")</f>
        <v/>
      </c>
      <c r="AC141" s="27" t="str">
        <f aca="false">IF($Y141=1,$AA141*$U141*$M141,"")</f>
        <v/>
      </c>
      <c r="AD141" s="26" t="str">
        <f aca="false">IF($Y141=1,$AC141/SUMIFS($AC$6:$AC$205,$C$6:$C$205,$C141,$Y$6:$Y$205,1),"")</f>
        <v/>
      </c>
      <c r="AE141" s="28" t="str">
        <f aca="false">IF($Y141=1,(INDEX(Fournisseurs!$J$5:$J$24,MATCH($C141,Fournisseurs!$A$5:$A$24,0))+INDEX(Fournisseurs!$K$5:$K$24,MATCH($C141,Fournisseurs!$A$5:$A$24,0)))*$U141*$AD141/($I141*$M141),"")</f>
        <v/>
      </c>
      <c r="AF141" s="28" t="str">
        <f aca="false">IF($Y141=1,INDEX(Fournisseurs!$L$5:$L$24,MATCH($C141,Fournisseurs!$A$5:$A$24,0))*$AD141/($I141*$M141),"")</f>
        <v/>
      </c>
      <c r="AG141" s="28" t="str">
        <f aca="false">IF($Y141=1,$AA141*$U141/$I141,"")</f>
        <v/>
      </c>
      <c r="AH141" s="28" t="str">
        <f aca="false">IF($Y141=1,$AB141*$U141/$I141,"")</f>
        <v/>
      </c>
      <c r="AI141" s="18" t="str">
        <f aca="false">IF($Y141=1,IF(AND(Paramètres!$B$4="EFFECTIVE",$W141="CH",$AB141&gt;0),1,0),"")</f>
        <v/>
      </c>
      <c r="AJ141" s="28" t="str">
        <f aca="false">IF($Y141=1,IF($X141&lt;&gt;"CH",($AG141+$AE141+$AF141)*Paramètres!$B$14,0),"")</f>
        <v/>
      </c>
      <c r="AK141" s="29" t="str">
        <f aca="false">IF($Y141=1,$AG141+IF($AI141=1,0,$AH141)+$AE141+$AF141+IF(Paramètres!$B$4="NOT_REGISTERED",$AJ141,0),"")</f>
        <v/>
      </c>
      <c r="AL141" s="27" t="str">
        <f aca="false">IF($Y141=1,($AK141+Paramètres!$B$7+Paramètres!$B$8+Paramètres!$B$9+Paramètres!$B$10)/((1-Paramètres!$B$11)/(1+Paramètres!$B$5)-Paramètres!$B$6),"")</f>
        <v/>
      </c>
      <c r="AM141" s="26" t="str">
        <f aca="false">IF(AND($Y141=1,ISNUMBER($R141)),IF($R141&gt;0,$AL141/$R141-1,""),"")</f>
        <v/>
      </c>
      <c r="AN141" s="27" t="str">
        <f aca="false">IF(AND($Y141=1,ISNUMBER($R141)),IF($R141&gt;0,$R141/(1+Paramètres!$B$5)-$AK141-($R141*Paramètres!$B$6+Paramètres!$B$7)-Paramètres!$B$8-Paramètres!$B$9-Paramètres!$B$10,""),"")</f>
        <v/>
      </c>
      <c r="AO141" s="26" t="str">
        <f aca="false">IF(ISNUMBER($AN141),$AN141/($R141/(1+Paramètres!$B$5)),"")</f>
        <v/>
      </c>
      <c r="AP141" s="30" t="str">
        <f aca="false">IF($A141="","",IF($Y141&lt;&gt;1,"INCOMPLET",IF(NOT(ISNUMBER($AM141)),"SANS RÉF. MARCHÉ",IF($AM141&lt;=Paramètres!$B$12,"OK",IF(AND($AO141&gt;=Paramètres!$B$15,$AN141&gt;=Paramètres!$B$16),"À REVOIR","NON RENTABLE")))))</f>
        <v/>
      </c>
      <c r="AQ141" s="18" t="str">
        <f aca="false">TRIM(IF(AND($Y141=1,ISNUMBER($N141)),IF($M141&lt;$N141,"MOQ ",""),"")&amp;IF(AND($Y141=1,ISNUMBER($O141)),IF($O141&lt;$I141*$M141,"DISPO ",""),"")&amp;IF($S141="O","FICTIF ","")&amp;IF($Y141=1,IF(AND($K141="TTC",$W141&lt;&gt;"CH"),"TVA-ÉTRANGÈRE ",""),""))</f>
        <v/>
      </c>
      <c r="AR141" s="18" t="str">
        <f aca="false">IF($Y141=1,COUNTIFS($A$6:$A$205,$A141,$AK$6:$AK$205,"&lt;"&amp;$AK141,$Y$6:$Y$205,1)+1,"")</f>
        <v/>
      </c>
      <c r="AS141" s="18" t="str">
        <f aca="false">IF(ISNUMBER($AR141),$A141&amp;"|"&amp;$AR141,"")</f>
        <v/>
      </c>
      <c r="AT141" s="27" t="str">
        <f aca="false">IF($Y141=1,$AK141*$I141*$M141,"")</f>
        <v/>
      </c>
    </row>
    <row r="142" customFormat="false" ht="15" hidden="false" customHeight="false" outlineLevel="0" collapsed="false">
      <c r="A142" s="9"/>
      <c r="B142" s="9"/>
      <c r="C142" s="9"/>
      <c r="D142" s="9"/>
      <c r="E142" s="9"/>
      <c r="F142" s="9"/>
      <c r="G142" s="9"/>
      <c r="H142" s="9"/>
      <c r="I142" s="9"/>
      <c r="J142" s="13"/>
      <c r="K142" s="9"/>
      <c r="L142" s="12"/>
      <c r="M142" s="9"/>
      <c r="N142" s="9"/>
      <c r="O142" s="9"/>
      <c r="P142" s="9"/>
      <c r="Q142" s="16"/>
      <c r="R142" s="13"/>
      <c r="S142" s="9"/>
      <c r="T142" s="18" t="str">
        <f aca="false">IF($C142="","",IFERROR(INDEX(Fournisseurs!$C$5:$C$24,MATCH($C142,Fournisseurs!$A$5:$A$24,0)),""))</f>
        <v/>
      </c>
      <c r="U142" s="25" t="str">
        <f aca="false">IF($C142="","",IFERROR(INDEX(Fournisseurs!$D$5:$D$24,MATCH($C142,Fournisseurs!$A$5:$A$24,0)),""))</f>
        <v/>
      </c>
      <c r="V142" s="26" t="str">
        <f aca="false">IF($C142="","",IFERROR(INDEX(Fournisseurs!$G$5:$G$24,MATCH($C142,Fournisseurs!$A$5:$A$24,0)),""))</f>
        <v/>
      </c>
      <c r="W142" s="18" t="str">
        <f aca="false">IF($C142="","",IFERROR(INDEX(Fournisseurs!$H$5:$H$24,MATCH($C142,Fournisseurs!$A$5:$A$24,0)),""))</f>
        <v/>
      </c>
      <c r="X142" s="18" t="str">
        <f aca="false">IF($C142="","",IFERROR(INDEX(Fournisseurs!$B$5:$B$24,MATCH($C142,Fournisseurs!$A$5:$A$24,0)),""))</f>
        <v/>
      </c>
      <c r="Y142" s="18" t="str">
        <f aca="false">IF($A142="","",IF(AND($A142&lt;&gt;"",$C142&lt;&gt;"",ISNUMBER($I142),ISNUMBER($J142),ISNUMBER($M142)),IF(AND($I142&gt;=1,$J142&gt;0,OR($K142="HT",$K142="TTC"),$M142&gt;=1,IFERROR(INDEX(Fournisseurs!$T$5:$T$24,MATCH($C142,Fournisseurs!$A$5:$A$24,0)),0)=1),1,0),0))</f>
        <v/>
      </c>
      <c r="Z142" s="27" t="str">
        <f aca="false">IF($Y142=1,$J142*(1-N($L142)),"")</f>
        <v/>
      </c>
      <c r="AA142" s="28" t="str">
        <f aca="false">IF($Y142=1,IF($K142="TTC",$Z142/(1+$V142),$Z142),"")</f>
        <v/>
      </c>
      <c r="AB142" s="28" t="str">
        <f aca="false">IF($Y142=1,IF($K142="TTC",$Z142-$AA142,$AA142*$V142),"")</f>
        <v/>
      </c>
      <c r="AC142" s="27" t="str">
        <f aca="false">IF($Y142=1,$AA142*$U142*$M142,"")</f>
        <v/>
      </c>
      <c r="AD142" s="26" t="str">
        <f aca="false">IF($Y142=1,$AC142/SUMIFS($AC$6:$AC$205,$C$6:$C$205,$C142,$Y$6:$Y$205,1),"")</f>
        <v/>
      </c>
      <c r="AE142" s="28" t="str">
        <f aca="false">IF($Y142=1,(INDEX(Fournisseurs!$J$5:$J$24,MATCH($C142,Fournisseurs!$A$5:$A$24,0))+INDEX(Fournisseurs!$K$5:$K$24,MATCH($C142,Fournisseurs!$A$5:$A$24,0)))*$U142*$AD142/($I142*$M142),"")</f>
        <v/>
      </c>
      <c r="AF142" s="28" t="str">
        <f aca="false">IF($Y142=1,INDEX(Fournisseurs!$L$5:$L$24,MATCH($C142,Fournisseurs!$A$5:$A$24,0))*$AD142/($I142*$M142),"")</f>
        <v/>
      </c>
      <c r="AG142" s="28" t="str">
        <f aca="false">IF($Y142=1,$AA142*$U142/$I142,"")</f>
        <v/>
      </c>
      <c r="AH142" s="28" t="str">
        <f aca="false">IF($Y142=1,$AB142*$U142/$I142,"")</f>
        <v/>
      </c>
      <c r="AI142" s="18" t="str">
        <f aca="false">IF($Y142=1,IF(AND(Paramètres!$B$4="EFFECTIVE",$W142="CH",$AB142&gt;0),1,0),"")</f>
        <v/>
      </c>
      <c r="AJ142" s="28" t="str">
        <f aca="false">IF($Y142=1,IF($X142&lt;&gt;"CH",($AG142+$AE142+$AF142)*Paramètres!$B$14,0),"")</f>
        <v/>
      </c>
      <c r="AK142" s="29" t="str">
        <f aca="false">IF($Y142=1,$AG142+IF($AI142=1,0,$AH142)+$AE142+$AF142+IF(Paramètres!$B$4="NOT_REGISTERED",$AJ142,0),"")</f>
        <v/>
      </c>
      <c r="AL142" s="27" t="str">
        <f aca="false">IF($Y142=1,($AK142+Paramètres!$B$7+Paramètres!$B$8+Paramètres!$B$9+Paramètres!$B$10)/((1-Paramètres!$B$11)/(1+Paramètres!$B$5)-Paramètres!$B$6),"")</f>
        <v/>
      </c>
      <c r="AM142" s="26" t="str">
        <f aca="false">IF(AND($Y142=1,ISNUMBER($R142)),IF($R142&gt;0,$AL142/$R142-1,""),"")</f>
        <v/>
      </c>
      <c r="AN142" s="27" t="str">
        <f aca="false">IF(AND($Y142=1,ISNUMBER($R142)),IF($R142&gt;0,$R142/(1+Paramètres!$B$5)-$AK142-($R142*Paramètres!$B$6+Paramètres!$B$7)-Paramètres!$B$8-Paramètres!$B$9-Paramètres!$B$10,""),"")</f>
        <v/>
      </c>
      <c r="AO142" s="26" t="str">
        <f aca="false">IF(ISNUMBER($AN142),$AN142/($R142/(1+Paramètres!$B$5)),"")</f>
        <v/>
      </c>
      <c r="AP142" s="30" t="str">
        <f aca="false">IF($A142="","",IF($Y142&lt;&gt;1,"INCOMPLET",IF(NOT(ISNUMBER($AM142)),"SANS RÉF. MARCHÉ",IF($AM142&lt;=Paramètres!$B$12,"OK",IF(AND($AO142&gt;=Paramètres!$B$15,$AN142&gt;=Paramètres!$B$16),"À REVOIR","NON RENTABLE")))))</f>
        <v/>
      </c>
      <c r="AQ142" s="18" t="str">
        <f aca="false">TRIM(IF(AND($Y142=1,ISNUMBER($N142)),IF($M142&lt;$N142,"MOQ ",""),"")&amp;IF(AND($Y142=1,ISNUMBER($O142)),IF($O142&lt;$I142*$M142,"DISPO ",""),"")&amp;IF($S142="O","FICTIF ","")&amp;IF($Y142=1,IF(AND($K142="TTC",$W142&lt;&gt;"CH"),"TVA-ÉTRANGÈRE ",""),""))</f>
        <v/>
      </c>
      <c r="AR142" s="18" t="str">
        <f aca="false">IF($Y142=1,COUNTIFS($A$6:$A$205,$A142,$AK$6:$AK$205,"&lt;"&amp;$AK142,$Y$6:$Y$205,1)+1,"")</f>
        <v/>
      </c>
      <c r="AS142" s="18" t="str">
        <f aca="false">IF(ISNUMBER($AR142),$A142&amp;"|"&amp;$AR142,"")</f>
        <v/>
      </c>
      <c r="AT142" s="27" t="str">
        <f aca="false">IF($Y142=1,$AK142*$I142*$M142,"")</f>
        <v/>
      </c>
    </row>
    <row r="143" customFormat="false" ht="15" hidden="false" customHeight="false" outlineLevel="0" collapsed="false">
      <c r="A143" s="9"/>
      <c r="B143" s="9"/>
      <c r="C143" s="9"/>
      <c r="D143" s="9"/>
      <c r="E143" s="9"/>
      <c r="F143" s="9"/>
      <c r="G143" s="9"/>
      <c r="H143" s="9"/>
      <c r="I143" s="9"/>
      <c r="J143" s="13"/>
      <c r="K143" s="9"/>
      <c r="L143" s="12"/>
      <c r="M143" s="9"/>
      <c r="N143" s="9"/>
      <c r="O143" s="9"/>
      <c r="P143" s="9"/>
      <c r="Q143" s="16"/>
      <c r="R143" s="13"/>
      <c r="S143" s="9"/>
      <c r="T143" s="18" t="str">
        <f aca="false">IF($C143="","",IFERROR(INDEX(Fournisseurs!$C$5:$C$24,MATCH($C143,Fournisseurs!$A$5:$A$24,0)),""))</f>
        <v/>
      </c>
      <c r="U143" s="25" t="str">
        <f aca="false">IF($C143="","",IFERROR(INDEX(Fournisseurs!$D$5:$D$24,MATCH($C143,Fournisseurs!$A$5:$A$24,0)),""))</f>
        <v/>
      </c>
      <c r="V143" s="26" t="str">
        <f aca="false">IF($C143="","",IFERROR(INDEX(Fournisseurs!$G$5:$G$24,MATCH($C143,Fournisseurs!$A$5:$A$24,0)),""))</f>
        <v/>
      </c>
      <c r="W143" s="18" t="str">
        <f aca="false">IF($C143="","",IFERROR(INDEX(Fournisseurs!$H$5:$H$24,MATCH($C143,Fournisseurs!$A$5:$A$24,0)),""))</f>
        <v/>
      </c>
      <c r="X143" s="18" t="str">
        <f aca="false">IF($C143="","",IFERROR(INDEX(Fournisseurs!$B$5:$B$24,MATCH($C143,Fournisseurs!$A$5:$A$24,0)),""))</f>
        <v/>
      </c>
      <c r="Y143" s="18" t="str">
        <f aca="false">IF($A143="","",IF(AND($A143&lt;&gt;"",$C143&lt;&gt;"",ISNUMBER($I143),ISNUMBER($J143),ISNUMBER($M143)),IF(AND($I143&gt;=1,$J143&gt;0,OR($K143="HT",$K143="TTC"),$M143&gt;=1,IFERROR(INDEX(Fournisseurs!$T$5:$T$24,MATCH($C143,Fournisseurs!$A$5:$A$24,0)),0)=1),1,0),0))</f>
        <v/>
      </c>
      <c r="Z143" s="27" t="str">
        <f aca="false">IF($Y143=1,$J143*(1-N($L143)),"")</f>
        <v/>
      </c>
      <c r="AA143" s="28" t="str">
        <f aca="false">IF($Y143=1,IF($K143="TTC",$Z143/(1+$V143),$Z143),"")</f>
        <v/>
      </c>
      <c r="AB143" s="28" t="str">
        <f aca="false">IF($Y143=1,IF($K143="TTC",$Z143-$AA143,$AA143*$V143),"")</f>
        <v/>
      </c>
      <c r="AC143" s="27" t="str">
        <f aca="false">IF($Y143=1,$AA143*$U143*$M143,"")</f>
        <v/>
      </c>
      <c r="AD143" s="26" t="str">
        <f aca="false">IF($Y143=1,$AC143/SUMIFS($AC$6:$AC$205,$C$6:$C$205,$C143,$Y$6:$Y$205,1),"")</f>
        <v/>
      </c>
      <c r="AE143" s="28" t="str">
        <f aca="false">IF($Y143=1,(INDEX(Fournisseurs!$J$5:$J$24,MATCH($C143,Fournisseurs!$A$5:$A$24,0))+INDEX(Fournisseurs!$K$5:$K$24,MATCH($C143,Fournisseurs!$A$5:$A$24,0)))*$U143*$AD143/($I143*$M143),"")</f>
        <v/>
      </c>
      <c r="AF143" s="28" t="str">
        <f aca="false">IF($Y143=1,INDEX(Fournisseurs!$L$5:$L$24,MATCH($C143,Fournisseurs!$A$5:$A$24,0))*$AD143/($I143*$M143),"")</f>
        <v/>
      </c>
      <c r="AG143" s="28" t="str">
        <f aca="false">IF($Y143=1,$AA143*$U143/$I143,"")</f>
        <v/>
      </c>
      <c r="AH143" s="28" t="str">
        <f aca="false">IF($Y143=1,$AB143*$U143/$I143,"")</f>
        <v/>
      </c>
      <c r="AI143" s="18" t="str">
        <f aca="false">IF($Y143=1,IF(AND(Paramètres!$B$4="EFFECTIVE",$W143="CH",$AB143&gt;0),1,0),"")</f>
        <v/>
      </c>
      <c r="AJ143" s="28" t="str">
        <f aca="false">IF($Y143=1,IF($X143&lt;&gt;"CH",($AG143+$AE143+$AF143)*Paramètres!$B$14,0),"")</f>
        <v/>
      </c>
      <c r="AK143" s="29" t="str">
        <f aca="false">IF($Y143=1,$AG143+IF($AI143=1,0,$AH143)+$AE143+$AF143+IF(Paramètres!$B$4="NOT_REGISTERED",$AJ143,0),"")</f>
        <v/>
      </c>
      <c r="AL143" s="27" t="str">
        <f aca="false">IF($Y143=1,($AK143+Paramètres!$B$7+Paramètres!$B$8+Paramètres!$B$9+Paramètres!$B$10)/((1-Paramètres!$B$11)/(1+Paramètres!$B$5)-Paramètres!$B$6),"")</f>
        <v/>
      </c>
      <c r="AM143" s="26" t="str">
        <f aca="false">IF(AND($Y143=1,ISNUMBER($R143)),IF($R143&gt;0,$AL143/$R143-1,""),"")</f>
        <v/>
      </c>
      <c r="AN143" s="27" t="str">
        <f aca="false">IF(AND($Y143=1,ISNUMBER($R143)),IF($R143&gt;0,$R143/(1+Paramètres!$B$5)-$AK143-($R143*Paramètres!$B$6+Paramètres!$B$7)-Paramètres!$B$8-Paramètres!$B$9-Paramètres!$B$10,""),"")</f>
        <v/>
      </c>
      <c r="AO143" s="26" t="str">
        <f aca="false">IF(ISNUMBER($AN143),$AN143/($R143/(1+Paramètres!$B$5)),"")</f>
        <v/>
      </c>
      <c r="AP143" s="30" t="str">
        <f aca="false">IF($A143="","",IF($Y143&lt;&gt;1,"INCOMPLET",IF(NOT(ISNUMBER($AM143)),"SANS RÉF. MARCHÉ",IF($AM143&lt;=Paramètres!$B$12,"OK",IF(AND($AO143&gt;=Paramètres!$B$15,$AN143&gt;=Paramètres!$B$16),"À REVOIR","NON RENTABLE")))))</f>
        <v/>
      </c>
      <c r="AQ143" s="18" t="str">
        <f aca="false">TRIM(IF(AND($Y143=1,ISNUMBER($N143)),IF($M143&lt;$N143,"MOQ ",""),"")&amp;IF(AND($Y143=1,ISNUMBER($O143)),IF($O143&lt;$I143*$M143,"DISPO ",""),"")&amp;IF($S143="O","FICTIF ","")&amp;IF($Y143=1,IF(AND($K143="TTC",$W143&lt;&gt;"CH"),"TVA-ÉTRANGÈRE ",""),""))</f>
        <v/>
      </c>
      <c r="AR143" s="18" t="str">
        <f aca="false">IF($Y143=1,COUNTIFS($A$6:$A$205,$A143,$AK$6:$AK$205,"&lt;"&amp;$AK143,$Y$6:$Y$205,1)+1,"")</f>
        <v/>
      </c>
      <c r="AS143" s="18" t="str">
        <f aca="false">IF(ISNUMBER($AR143),$A143&amp;"|"&amp;$AR143,"")</f>
        <v/>
      </c>
      <c r="AT143" s="27" t="str">
        <f aca="false">IF($Y143=1,$AK143*$I143*$M143,"")</f>
        <v/>
      </c>
    </row>
    <row r="144" customFormat="false" ht="15" hidden="false" customHeight="false" outlineLevel="0" collapsed="false">
      <c r="A144" s="9"/>
      <c r="B144" s="9"/>
      <c r="C144" s="9"/>
      <c r="D144" s="9"/>
      <c r="E144" s="9"/>
      <c r="F144" s="9"/>
      <c r="G144" s="9"/>
      <c r="H144" s="9"/>
      <c r="I144" s="9"/>
      <c r="J144" s="13"/>
      <c r="K144" s="9"/>
      <c r="L144" s="12"/>
      <c r="M144" s="9"/>
      <c r="N144" s="9"/>
      <c r="O144" s="9"/>
      <c r="P144" s="9"/>
      <c r="Q144" s="16"/>
      <c r="R144" s="13"/>
      <c r="S144" s="9"/>
      <c r="T144" s="18" t="str">
        <f aca="false">IF($C144="","",IFERROR(INDEX(Fournisseurs!$C$5:$C$24,MATCH($C144,Fournisseurs!$A$5:$A$24,0)),""))</f>
        <v/>
      </c>
      <c r="U144" s="25" t="str">
        <f aca="false">IF($C144="","",IFERROR(INDEX(Fournisseurs!$D$5:$D$24,MATCH($C144,Fournisseurs!$A$5:$A$24,0)),""))</f>
        <v/>
      </c>
      <c r="V144" s="26" t="str">
        <f aca="false">IF($C144="","",IFERROR(INDEX(Fournisseurs!$G$5:$G$24,MATCH($C144,Fournisseurs!$A$5:$A$24,0)),""))</f>
        <v/>
      </c>
      <c r="W144" s="18" t="str">
        <f aca="false">IF($C144="","",IFERROR(INDEX(Fournisseurs!$H$5:$H$24,MATCH($C144,Fournisseurs!$A$5:$A$24,0)),""))</f>
        <v/>
      </c>
      <c r="X144" s="18" t="str">
        <f aca="false">IF($C144="","",IFERROR(INDEX(Fournisseurs!$B$5:$B$24,MATCH($C144,Fournisseurs!$A$5:$A$24,0)),""))</f>
        <v/>
      </c>
      <c r="Y144" s="18" t="str">
        <f aca="false">IF($A144="","",IF(AND($A144&lt;&gt;"",$C144&lt;&gt;"",ISNUMBER($I144),ISNUMBER($J144),ISNUMBER($M144)),IF(AND($I144&gt;=1,$J144&gt;0,OR($K144="HT",$K144="TTC"),$M144&gt;=1,IFERROR(INDEX(Fournisseurs!$T$5:$T$24,MATCH($C144,Fournisseurs!$A$5:$A$24,0)),0)=1),1,0),0))</f>
        <v/>
      </c>
      <c r="Z144" s="27" t="str">
        <f aca="false">IF($Y144=1,$J144*(1-N($L144)),"")</f>
        <v/>
      </c>
      <c r="AA144" s="28" t="str">
        <f aca="false">IF($Y144=1,IF($K144="TTC",$Z144/(1+$V144),$Z144),"")</f>
        <v/>
      </c>
      <c r="AB144" s="28" t="str">
        <f aca="false">IF($Y144=1,IF($K144="TTC",$Z144-$AA144,$AA144*$V144),"")</f>
        <v/>
      </c>
      <c r="AC144" s="27" t="str">
        <f aca="false">IF($Y144=1,$AA144*$U144*$M144,"")</f>
        <v/>
      </c>
      <c r="AD144" s="26" t="str">
        <f aca="false">IF($Y144=1,$AC144/SUMIFS($AC$6:$AC$205,$C$6:$C$205,$C144,$Y$6:$Y$205,1),"")</f>
        <v/>
      </c>
      <c r="AE144" s="28" t="str">
        <f aca="false">IF($Y144=1,(INDEX(Fournisseurs!$J$5:$J$24,MATCH($C144,Fournisseurs!$A$5:$A$24,0))+INDEX(Fournisseurs!$K$5:$K$24,MATCH($C144,Fournisseurs!$A$5:$A$24,0)))*$U144*$AD144/($I144*$M144),"")</f>
        <v/>
      </c>
      <c r="AF144" s="28" t="str">
        <f aca="false">IF($Y144=1,INDEX(Fournisseurs!$L$5:$L$24,MATCH($C144,Fournisseurs!$A$5:$A$24,0))*$AD144/($I144*$M144),"")</f>
        <v/>
      </c>
      <c r="AG144" s="28" t="str">
        <f aca="false">IF($Y144=1,$AA144*$U144/$I144,"")</f>
        <v/>
      </c>
      <c r="AH144" s="28" t="str">
        <f aca="false">IF($Y144=1,$AB144*$U144/$I144,"")</f>
        <v/>
      </c>
      <c r="AI144" s="18" t="str">
        <f aca="false">IF($Y144=1,IF(AND(Paramètres!$B$4="EFFECTIVE",$W144="CH",$AB144&gt;0),1,0),"")</f>
        <v/>
      </c>
      <c r="AJ144" s="28" t="str">
        <f aca="false">IF($Y144=1,IF($X144&lt;&gt;"CH",($AG144+$AE144+$AF144)*Paramètres!$B$14,0),"")</f>
        <v/>
      </c>
      <c r="AK144" s="29" t="str">
        <f aca="false">IF($Y144=1,$AG144+IF($AI144=1,0,$AH144)+$AE144+$AF144+IF(Paramètres!$B$4="NOT_REGISTERED",$AJ144,0),"")</f>
        <v/>
      </c>
      <c r="AL144" s="27" t="str">
        <f aca="false">IF($Y144=1,($AK144+Paramètres!$B$7+Paramètres!$B$8+Paramètres!$B$9+Paramètres!$B$10)/((1-Paramètres!$B$11)/(1+Paramètres!$B$5)-Paramètres!$B$6),"")</f>
        <v/>
      </c>
      <c r="AM144" s="26" t="str">
        <f aca="false">IF(AND($Y144=1,ISNUMBER($R144)),IF($R144&gt;0,$AL144/$R144-1,""),"")</f>
        <v/>
      </c>
      <c r="AN144" s="27" t="str">
        <f aca="false">IF(AND($Y144=1,ISNUMBER($R144)),IF($R144&gt;0,$R144/(1+Paramètres!$B$5)-$AK144-($R144*Paramètres!$B$6+Paramètres!$B$7)-Paramètres!$B$8-Paramètres!$B$9-Paramètres!$B$10,""),"")</f>
        <v/>
      </c>
      <c r="AO144" s="26" t="str">
        <f aca="false">IF(ISNUMBER($AN144),$AN144/($R144/(1+Paramètres!$B$5)),"")</f>
        <v/>
      </c>
      <c r="AP144" s="30" t="str">
        <f aca="false">IF($A144="","",IF($Y144&lt;&gt;1,"INCOMPLET",IF(NOT(ISNUMBER($AM144)),"SANS RÉF. MARCHÉ",IF($AM144&lt;=Paramètres!$B$12,"OK",IF(AND($AO144&gt;=Paramètres!$B$15,$AN144&gt;=Paramètres!$B$16),"À REVOIR","NON RENTABLE")))))</f>
        <v/>
      </c>
      <c r="AQ144" s="18" t="str">
        <f aca="false">TRIM(IF(AND($Y144=1,ISNUMBER($N144)),IF($M144&lt;$N144,"MOQ ",""),"")&amp;IF(AND($Y144=1,ISNUMBER($O144)),IF($O144&lt;$I144*$M144,"DISPO ",""),"")&amp;IF($S144="O","FICTIF ","")&amp;IF($Y144=1,IF(AND($K144="TTC",$W144&lt;&gt;"CH"),"TVA-ÉTRANGÈRE ",""),""))</f>
        <v/>
      </c>
      <c r="AR144" s="18" t="str">
        <f aca="false">IF($Y144=1,COUNTIFS($A$6:$A$205,$A144,$AK$6:$AK$205,"&lt;"&amp;$AK144,$Y$6:$Y$205,1)+1,"")</f>
        <v/>
      </c>
      <c r="AS144" s="18" t="str">
        <f aca="false">IF(ISNUMBER($AR144),$A144&amp;"|"&amp;$AR144,"")</f>
        <v/>
      </c>
      <c r="AT144" s="27" t="str">
        <f aca="false">IF($Y144=1,$AK144*$I144*$M144,"")</f>
        <v/>
      </c>
    </row>
    <row r="145" customFormat="false" ht="15" hidden="false" customHeight="false" outlineLevel="0" collapsed="false">
      <c r="A145" s="9"/>
      <c r="B145" s="9"/>
      <c r="C145" s="9"/>
      <c r="D145" s="9"/>
      <c r="E145" s="9"/>
      <c r="F145" s="9"/>
      <c r="G145" s="9"/>
      <c r="H145" s="9"/>
      <c r="I145" s="9"/>
      <c r="J145" s="13"/>
      <c r="K145" s="9"/>
      <c r="L145" s="12"/>
      <c r="M145" s="9"/>
      <c r="N145" s="9"/>
      <c r="O145" s="9"/>
      <c r="P145" s="9"/>
      <c r="Q145" s="16"/>
      <c r="R145" s="13"/>
      <c r="S145" s="9"/>
      <c r="T145" s="18" t="str">
        <f aca="false">IF($C145="","",IFERROR(INDEX(Fournisseurs!$C$5:$C$24,MATCH($C145,Fournisseurs!$A$5:$A$24,0)),""))</f>
        <v/>
      </c>
      <c r="U145" s="25" t="str">
        <f aca="false">IF($C145="","",IFERROR(INDEX(Fournisseurs!$D$5:$D$24,MATCH($C145,Fournisseurs!$A$5:$A$24,0)),""))</f>
        <v/>
      </c>
      <c r="V145" s="26" t="str">
        <f aca="false">IF($C145="","",IFERROR(INDEX(Fournisseurs!$G$5:$G$24,MATCH($C145,Fournisseurs!$A$5:$A$24,0)),""))</f>
        <v/>
      </c>
      <c r="W145" s="18" t="str">
        <f aca="false">IF($C145="","",IFERROR(INDEX(Fournisseurs!$H$5:$H$24,MATCH($C145,Fournisseurs!$A$5:$A$24,0)),""))</f>
        <v/>
      </c>
      <c r="X145" s="18" t="str">
        <f aca="false">IF($C145="","",IFERROR(INDEX(Fournisseurs!$B$5:$B$24,MATCH($C145,Fournisseurs!$A$5:$A$24,0)),""))</f>
        <v/>
      </c>
      <c r="Y145" s="18" t="str">
        <f aca="false">IF($A145="","",IF(AND($A145&lt;&gt;"",$C145&lt;&gt;"",ISNUMBER($I145),ISNUMBER($J145),ISNUMBER($M145)),IF(AND($I145&gt;=1,$J145&gt;0,OR($K145="HT",$K145="TTC"),$M145&gt;=1,IFERROR(INDEX(Fournisseurs!$T$5:$T$24,MATCH($C145,Fournisseurs!$A$5:$A$24,0)),0)=1),1,0),0))</f>
        <v/>
      </c>
      <c r="Z145" s="27" t="str">
        <f aca="false">IF($Y145=1,$J145*(1-N($L145)),"")</f>
        <v/>
      </c>
      <c r="AA145" s="28" t="str">
        <f aca="false">IF($Y145=1,IF($K145="TTC",$Z145/(1+$V145),$Z145),"")</f>
        <v/>
      </c>
      <c r="AB145" s="28" t="str">
        <f aca="false">IF($Y145=1,IF($K145="TTC",$Z145-$AA145,$AA145*$V145),"")</f>
        <v/>
      </c>
      <c r="AC145" s="27" t="str">
        <f aca="false">IF($Y145=1,$AA145*$U145*$M145,"")</f>
        <v/>
      </c>
      <c r="AD145" s="26" t="str">
        <f aca="false">IF($Y145=1,$AC145/SUMIFS($AC$6:$AC$205,$C$6:$C$205,$C145,$Y$6:$Y$205,1),"")</f>
        <v/>
      </c>
      <c r="AE145" s="28" t="str">
        <f aca="false">IF($Y145=1,(INDEX(Fournisseurs!$J$5:$J$24,MATCH($C145,Fournisseurs!$A$5:$A$24,0))+INDEX(Fournisseurs!$K$5:$K$24,MATCH($C145,Fournisseurs!$A$5:$A$24,0)))*$U145*$AD145/($I145*$M145),"")</f>
        <v/>
      </c>
      <c r="AF145" s="28" t="str">
        <f aca="false">IF($Y145=1,INDEX(Fournisseurs!$L$5:$L$24,MATCH($C145,Fournisseurs!$A$5:$A$24,0))*$AD145/($I145*$M145),"")</f>
        <v/>
      </c>
      <c r="AG145" s="28" t="str">
        <f aca="false">IF($Y145=1,$AA145*$U145/$I145,"")</f>
        <v/>
      </c>
      <c r="AH145" s="28" t="str">
        <f aca="false">IF($Y145=1,$AB145*$U145/$I145,"")</f>
        <v/>
      </c>
      <c r="AI145" s="18" t="str">
        <f aca="false">IF($Y145=1,IF(AND(Paramètres!$B$4="EFFECTIVE",$W145="CH",$AB145&gt;0),1,0),"")</f>
        <v/>
      </c>
      <c r="AJ145" s="28" t="str">
        <f aca="false">IF($Y145=1,IF($X145&lt;&gt;"CH",($AG145+$AE145+$AF145)*Paramètres!$B$14,0),"")</f>
        <v/>
      </c>
      <c r="AK145" s="29" t="str">
        <f aca="false">IF($Y145=1,$AG145+IF($AI145=1,0,$AH145)+$AE145+$AF145+IF(Paramètres!$B$4="NOT_REGISTERED",$AJ145,0),"")</f>
        <v/>
      </c>
      <c r="AL145" s="27" t="str">
        <f aca="false">IF($Y145=1,($AK145+Paramètres!$B$7+Paramètres!$B$8+Paramètres!$B$9+Paramètres!$B$10)/((1-Paramètres!$B$11)/(1+Paramètres!$B$5)-Paramètres!$B$6),"")</f>
        <v/>
      </c>
      <c r="AM145" s="26" t="str">
        <f aca="false">IF(AND($Y145=1,ISNUMBER($R145)),IF($R145&gt;0,$AL145/$R145-1,""),"")</f>
        <v/>
      </c>
      <c r="AN145" s="27" t="str">
        <f aca="false">IF(AND($Y145=1,ISNUMBER($R145)),IF($R145&gt;0,$R145/(1+Paramètres!$B$5)-$AK145-($R145*Paramètres!$B$6+Paramètres!$B$7)-Paramètres!$B$8-Paramètres!$B$9-Paramètres!$B$10,""),"")</f>
        <v/>
      </c>
      <c r="AO145" s="26" t="str">
        <f aca="false">IF(ISNUMBER($AN145),$AN145/($R145/(1+Paramètres!$B$5)),"")</f>
        <v/>
      </c>
      <c r="AP145" s="30" t="str">
        <f aca="false">IF($A145="","",IF($Y145&lt;&gt;1,"INCOMPLET",IF(NOT(ISNUMBER($AM145)),"SANS RÉF. MARCHÉ",IF($AM145&lt;=Paramètres!$B$12,"OK",IF(AND($AO145&gt;=Paramètres!$B$15,$AN145&gt;=Paramètres!$B$16),"À REVOIR","NON RENTABLE")))))</f>
        <v/>
      </c>
      <c r="AQ145" s="18" t="str">
        <f aca="false">TRIM(IF(AND($Y145=1,ISNUMBER($N145)),IF($M145&lt;$N145,"MOQ ",""),"")&amp;IF(AND($Y145=1,ISNUMBER($O145)),IF($O145&lt;$I145*$M145,"DISPO ",""),"")&amp;IF($S145="O","FICTIF ","")&amp;IF($Y145=1,IF(AND($K145="TTC",$W145&lt;&gt;"CH"),"TVA-ÉTRANGÈRE ",""),""))</f>
        <v/>
      </c>
      <c r="AR145" s="18" t="str">
        <f aca="false">IF($Y145=1,COUNTIFS($A$6:$A$205,$A145,$AK$6:$AK$205,"&lt;"&amp;$AK145,$Y$6:$Y$205,1)+1,"")</f>
        <v/>
      </c>
      <c r="AS145" s="18" t="str">
        <f aca="false">IF(ISNUMBER($AR145),$A145&amp;"|"&amp;$AR145,"")</f>
        <v/>
      </c>
      <c r="AT145" s="27" t="str">
        <f aca="false">IF($Y145=1,$AK145*$I145*$M145,"")</f>
        <v/>
      </c>
    </row>
    <row r="146" customFormat="false" ht="15" hidden="false" customHeight="false" outlineLevel="0" collapsed="false">
      <c r="A146" s="9"/>
      <c r="B146" s="9"/>
      <c r="C146" s="9"/>
      <c r="D146" s="9"/>
      <c r="E146" s="9"/>
      <c r="F146" s="9"/>
      <c r="G146" s="9"/>
      <c r="H146" s="9"/>
      <c r="I146" s="9"/>
      <c r="J146" s="13"/>
      <c r="K146" s="9"/>
      <c r="L146" s="12"/>
      <c r="M146" s="9"/>
      <c r="N146" s="9"/>
      <c r="O146" s="9"/>
      <c r="P146" s="9"/>
      <c r="Q146" s="16"/>
      <c r="R146" s="13"/>
      <c r="S146" s="9"/>
      <c r="T146" s="18" t="str">
        <f aca="false">IF($C146="","",IFERROR(INDEX(Fournisseurs!$C$5:$C$24,MATCH($C146,Fournisseurs!$A$5:$A$24,0)),""))</f>
        <v/>
      </c>
      <c r="U146" s="25" t="str">
        <f aca="false">IF($C146="","",IFERROR(INDEX(Fournisseurs!$D$5:$D$24,MATCH($C146,Fournisseurs!$A$5:$A$24,0)),""))</f>
        <v/>
      </c>
      <c r="V146" s="26" t="str">
        <f aca="false">IF($C146="","",IFERROR(INDEX(Fournisseurs!$G$5:$G$24,MATCH($C146,Fournisseurs!$A$5:$A$24,0)),""))</f>
        <v/>
      </c>
      <c r="W146" s="18" t="str">
        <f aca="false">IF($C146="","",IFERROR(INDEX(Fournisseurs!$H$5:$H$24,MATCH($C146,Fournisseurs!$A$5:$A$24,0)),""))</f>
        <v/>
      </c>
      <c r="X146" s="18" t="str">
        <f aca="false">IF($C146="","",IFERROR(INDEX(Fournisseurs!$B$5:$B$24,MATCH($C146,Fournisseurs!$A$5:$A$24,0)),""))</f>
        <v/>
      </c>
      <c r="Y146" s="18" t="str">
        <f aca="false">IF($A146="","",IF(AND($A146&lt;&gt;"",$C146&lt;&gt;"",ISNUMBER($I146),ISNUMBER($J146),ISNUMBER($M146)),IF(AND($I146&gt;=1,$J146&gt;0,OR($K146="HT",$K146="TTC"),$M146&gt;=1,IFERROR(INDEX(Fournisseurs!$T$5:$T$24,MATCH($C146,Fournisseurs!$A$5:$A$24,0)),0)=1),1,0),0))</f>
        <v/>
      </c>
      <c r="Z146" s="27" t="str">
        <f aca="false">IF($Y146=1,$J146*(1-N($L146)),"")</f>
        <v/>
      </c>
      <c r="AA146" s="28" t="str">
        <f aca="false">IF($Y146=1,IF($K146="TTC",$Z146/(1+$V146),$Z146),"")</f>
        <v/>
      </c>
      <c r="AB146" s="28" t="str">
        <f aca="false">IF($Y146=1,IF($K146="TTC",$Z146-$AA146,$AA146*$V146),"")</f>
        <v/>
      </c>
      <c r="AC146" s="27" t="str">
        <f aca="false">IF($Y146=1,$AA146*$U146*$M146,"")</f>
        <v/>
      </c>
      <c r="AD146" s="26" t="str">
        <f aca="false">IF($Y146=1,$AC146/SUMIFS($AC$6:$AC$205,$C$6:$C$205,$C146,$Y$6:$Y$205,1),"")</f>
        <v/>
      </c>
      <c r="AE146" s="28" t="str">
        <f aca="false">IF($Y146=1,(INDEX(Fournisseurs!$J$5:$J$24,MATCH($C146,Fournisseurs!$A$5:$A$24,0))+INDEX(Fournisseurs!$K$5:$K$24,MATCH($C146,Fournisseurs!$A$5:$A$24,0)))*$U146*$AD146/($I146*$M146),"")</f>
        <v/>
      </c>
      <c r="AF146" s="28" t="str">
        <f aca="false">IF($Y146=1,INDEX(Fournisseurs!$L$5:$L$24,MATCH($C146,Fournisseurs!$A$5:$A$24,0))*$AD146/($I146*$M146),"")</f>
        <v/>
      </c>
      <c r="AG146" s="28" t="str">
        <f aca="false">IF($Y146=1,$AA146*$U146/$I146,"")</f>
        <v/>
      </c>
      <c r="AH146" s="28" t="str">
        <f aca="false">IF($Y146=1,$AB146*$U146/$I146,"")</f>
        <v/>
      </c>
      <c r="AI146" s="18" t="str">
        <f aca="false">IF($Y146=1,IF(AND(Paramètres!$B$4="EFFECTIVE",$W146="CH",$AB146&gt;0),1,0),"")</f>
        <v/>
      </c>
      <c r="AJ146" s="28" t="str">
        <f aca="false">IF($Y146=1,IF($X146&lt;&gt;"CH",($AG146+$AE146+$AF146)*Paramètres!$B$14,0),"")</f>
        <v/>
      </c>
      <c r="AK146" s="29" t="str">
        <f aca="false">IF($Y146=1,$AG146+IF($AI146=1,0,$AH146)+$AE146+$AF146+IF(Paramètres!$B$4="NOT_REGISTERED",$AJ146,0),"")</f>
        <v/>
      </c>
      <c r="AL146" s="27" t="str">
        <f aca="false">IF($Y146=1,($AK146+Paramètres!$B$7+Paramètres!$B$8+Paramètres!$B$9+Paramètres!$B$10)/((1-Paramètres!$B$11)/(1+Paramètres!$B$5)-Paramètres!$B$6),"")</f>
        <v/>
      </c>
      <c r="AM146" s="26" t="str">
        <f aca="false">IF(AND($Y146=1,ISNUMBER($R146)),IF($R146&gt;0,$AL146/$R146-1,""),"")</f>
        <v/>
      </c>
      <c r="AN146" s="27" t="str">
        <f aca="false">IF(AND($Y146=1,ISNUMBER($R146)),IF($R146&gt;0,$R146/(1+Paramètres!$B$5)-$AK146-($R146*Paramètres!$B$6+Paramètres!$B$7)-Paramètres!$B$8-Paramètres!$B$9-Paramètres!$B$10,""),"")</f>
        <v/>
      </c>
      <c r="AO146" s="26" t="str">
        <f aca="false">IF(ISNUMBER($AN146),$AN146/($R146/(1+Paramètres!$B$5)),"")</f>
        <v/>
      </c>
      <c r="AP146" s="30" t="str">
        <f aca="false">IF($A146="","",IF($Y146&lt;&gt;1,"INCOMPLET",IF(NOT(ISNUMBER($AM146)),"SANS RÉF. MARCHÉ",IF($AM146&lt;=Paramètres!$B$12,"OK",IF(AND($AO146&gt;=Paramètres!$B$15,$AN146&gt;=Paramètres!$B$16),"À REVOIR","NON RENTABLE")))))</f>
        <v/>
      </c>
      <c r="AQ146" s="18" t="str">
        <f aca="false">TRIM(IF(AND($Y146=1,ISNUMBER($N146)),IF($M146&lt;$N146,"MOQ ",""),"")&amp;IF(AND($Y146=1,ISNUMBER($O146)),IF($O146&lt;$I146*$M146,"DISPO ",""),"")&amp;IF($S146="O","FICTIF ","")&amp;IF($Y146=1,IF(AND($K146="TTC",$W146&lt;&gt;"CH"),"TVA-ÉTRANGÈRE ",""),""))</f>
        <v/>
      </c>
      <c r="AR146" s="18" t="str">
        <f aca="false">IF($Y146=1,COUNTIFS($A$6:$A$205,$A146,$AK$6:$AK$205,"&lt;"&amp;$AK146,$Y$6:$Y$205,1)+1,"")</f>
        <v/>
      </c>
      <c r="AS146" s="18" t="str">
        <f aca="false">IF(ISNUMBER($AR146),$A146&amp;"|"&amp;$AR146,"")</f>
        <v/>
      </c>
      <c r="AT146" s="27" t="str">
        <f aca="false">IF($Y146=1,$AK146*$I146*$M146,"")</f>
        <v/>
      </c>
    </row>
    <row r="147" customFormat="false" ht="15" hidden="false" customHeight="false" outlineLevel="0" collapsed="false">
      <c r="A147" s="9"/>
      <c r="B147" s="9"/>
      <c r="C147" s="9"/>
      <c r="D147" s="9"/>
      <c r="E147" s="9"/>
      <c r="F147" s="9"/>
      <c r="G147" s="9"/>
      <c r="H147" s="9"/>
      <c r="I147" s="9"/>
      <c r="J147" s="13"/>
      <c r="K147" s="9"/>
      <c r="L147" s="12"/>
      <c r="M147" s="9"/>
      <c r="N147" s="9"/>
      <c r="O147" s="9"/>
      <c r="P147" s="9"/>
      <c r="Q147" s="16"/>
      <c r="R147" s="13"/>
      <c r="S147" s="9"/>
      <c r="T147" s="18" t="str">
        <f aca="false">IF($C147="","",IFERROR(INDEX(Fournisseurs!$C$5:$C$24,MATCH($C147,Fournisseurs!$A$5:$A$24,0)),""))</f>
        <v/>
      </c>
      <c r="U147" s="25" t="str">
        <f aca="false">IF($C147="","",IFERROR(INDEX(Fournisseurs!$D$5:$D$24,MATCH($C147,Fournisseurs!$A$5:$A$24,0)),""))</f>
        <v/>
      </c>
      <c r="V147" s="26" t="str">
        <f aca="false">IF($C147="","",IFERROR(INDEX(Fournisseurs!$G$5:$G$24,MATCH($C147,Fournisseurs!$A$5:$A$24,0)),""))</f>
        <v/>
      </c>
      <c r="W147" s="18" t="str">
        <f aca="false">IF($C147="","",IFERROR(INDEX(Fournisseurs!$H$5:$H$24,MATCH($C147,Fournisseurs!$A$5:$A$24,0)),""))</f>
        <v/>
      </c>
      <c r="X147" s="18" t="str">
        <f aca="false">IF($C147="","",IFERROR(INDEX(Fournisseurs!$B$5:$B$24,MATCH($C147,Fournisseurs!$A$5:$A$24,0)),""))</f>
        <v/>
      </c>
      <c r="Y147" s="18" t="str">
        <f aca="false">IF($A147="","",IF(AND($A147&lt;&gt;"",$C147&lt;&gt;"",ISNUMBER($I147),ISNUMBER($J147),ISNUMBER($M147)),IF(AND($I147&gt;=1,$J147&gt;0,OR($K147="HT",$K147="TTC"),$M147&gt;=1,IFERROR(INDEX(Fournisseurs!$T$5:$T$24,MATCH($C147,Fournisseurs!$A$5:$A$24,0)),0)=1),1,0),0))</f>
        <v/>
      </c>
      <c r="Z147" s="27" t="str">
        <f aca="false">IF($Y147=1,$J147*(1-N($L147)),"")</f>
        <v/>
      </c>
      <c r="AA147" s="28" t="str">
        <f aca="false">IF($Y147=1,IF($K147="TTC",$Z147/(1+$V147),$Z147),"")</f>
        <v/>
      </c>
      <c r="AB147" s="28" t="str">
        <f aca="false">IF($Y147=1,IF($K147="TTC",$Z147-$AA147,$AA147*$V147),"")</f>
        <v/>
      </c>
      <c r="AC147" s="27" t="str">
        <f aca="false">IF($Y147=1,$AA147*$U147*$M147,"")</f>
        <v/>
      </c>
      <c r="AD147" s="26" t="str">
        <f aca="false">IF($Y147=1,$AC147/SUMIFS($AC$6:$AC$205,$C$6:$C$205,$C147,$Y$6:$Y$205,1),"")</f>
        <v/>
      </c>
      <c r="AE147" s="28" t="str">
        <f aca="false">IF($Y147=1,(INDEX(Fournisseurs!$J$5:$J$24,MATCH($C147,Fournisseurs!$A$5:$A$24,0))+INDEX(Fournisseurs!$K$5:$K$24,MATCH($C147,Fournisseurs!$A$5:$A$24,0)))*$U147*$AD147/($I147*$M147),"")</f>
        <v/>
      </c>
      <c r="AF147" s="28" t="str">
        <f aca="false">IF($Y147=1,INDEX(Fournisseurs!$L$5:$L$24,MATCH($C147,Fournisseurs!$A$5:$A$24,0))*$AD147/($I147*$M147),"")</f>
        <v/>
      </c>
      <c r="AG147" s="28" t="str">
        <f aca="false">IF($Y147=1,$AA147*$U147/$I147,"")</f>
        <v/>
      </c>
      <c r="AH147" s="28" t="str">
        <f aca="false">IF($Y147=1,$AB147*$U147/$I147,"")</f>
        <v/>
      </c>
      <c r="AI147" s="18" t="str">
        <f aca="false">IF($Y147=1,IF(AND(Paramètres!$B$4="EFFECTIVE",$W147="CH",$AB147&gt;0),1,0),"")</f>
        <v/>
      </c>
      <c r="AJ147" s="28" t="str">
        <f aca="false">IF($Y147=1,IF($X147&lt;&gt;"CH",($AG147+$AE147+$AF147)*Paramètres!$B$14,0),"")</f>
        <v/>
      </c>
      <c r="AK147" s="29" t="str">
        <f aca="false">IF($Y147=1,$AG147+IF($AI147=1,0,$AH147)+$AE147+$AF147+IF(Paramètres!$B$4="NOT_REGISTERED",$AJ147,0),"")</f>
        <v/>
      </c>
      <c r="AL147" s="27" t="str">
        <f aca="false">IF($Y147=1,($AK147+Paramètres!$B$7+Paramètres!$B$8+Paramètres!$B$9+Paramètres!$B$10)/((1-Paramètres!$B$11)/(1+Paramètres!$B$5)-Paramètres!$B$6),"")</f>
        <v/>
      </c>
      <c r="AM147" s="26" t="str">
        <f aca="false">IF(AND($Y147=1,ISNUMBER($R147)),IF($R147&gt;0,$AL147/$R147-1,""),"")</f>
        <v/>
      </c>
      <c r="AN147" s="27" t="str">
        <f aca="false">IF(AND($Y147=1,ISNUMBER($R147)),IF($R147&gt;0,$R147/(1+Paramètres!$B$5)-$AK147-($R147*Paramètres!$B$6+Paramètres!$B$7)-Paramètres!$B$8-Paramètres!$B$9-Paramètres!$B$10,""),"")</f>
        <v/>
      </c>
      <c r="AO147" s="26" t="str">
        <f aca="false">IF(ISNUMBER($AN147),$AN147/($R147/(1+Paramètres!$B$5)),"")</f>
        <v/>
      </c>
      <c r="AP147" s="30" t="str">
        <f aca="false">IF($A147="","",IF($Y147&lt;&gt;1,"INCOMPLET",IF(NOT(ISNUMBER($AM147)),"SANS RÉF. MARCHÉ",IF($AM147&lt;=Paramètres!$B$12,"OK",IF(AND($AO147&gt;=Paramètres!$B$15,$AN147&gt;=Paramètres!$B$16),"À REVOIR","NON RENTABLE")))))</f>
        <v/>
      </c>
      <c r="AQ147" s="18" t="str">
        <f aca="false">TRIM(IF(AND($Y147=1,ISNUMBER($N147)),IF($M147&lt;$N147,"MOQ ",""),"")&amp;IF(AND($Y147=1,ISNUMBER($O147)),IF($O147&lt;$I147*$M147,"DISPO ",""),"")&amp;IF($S147="O","FICTIF ","")&amp;IF($Y147=1,IF(AND($K147="TTC",$W147&lt;&gt;"CH"),"TVA-ÉTRANGÈRE ",""),""))</f>
        <v/>
      </c>
      <c r="AR147" s="18" t="str">
        <f aca="false">IF($Y147=1,COUNTIFS($A$6:$A$205,$A147,$AK$6:$AK$205,"&lt;"&amp;$AK147,$Y$6:$Y$205,1)+1,"")</f>
        <v/>
      </c>
      <c r="AS147" s="18" t="str">
        <f aca="false">IF(ISNUMBER($AR147),$A147&amp;"|"&amp;$AR147,"")</f>
        <v/>
      </c>
      <c r="AT147" s="27" t="str">
        <f aca="false">IF($Y147=1,$AK147*$I147*$M147,"")</f>
        <v/>
      </c>
    </row>
    <row r="148" customFormat="false" ht="15" hidden="false" customHeight="false" outlineLevel="0" collapsed="false">
      <c r="A148" s="9"/>
      <c r="B148" s="9"/>
      <c r="C148" s="9"/>
      <c r="D148" s="9"/>
      <c r="E148" s="9"/>
      <c r="F148" s="9"/>
      <c r="G148" s="9"/>
      <c r="H148" s="9"/>
      <c r="I148" s="9"/>
      <c r="J148" s="13"/>
      <c r="K148" s="9"/>
      <c r="L148" s="12"/>
      <c r="M148" s="9"/>
      <c r="N148" s="9"/>
      <c r="O148" s="9"/>
      <c r="P148" s="9"/>
      <c r="Q148" s="16"/>
      <c r="R148" s="13"/>
      <c r="S148" s="9"/>
      <c r="T148" s="18" t="str">
        <f aca="false">IF($C148="","",IFERROR(INDEX(Fournisseurs!$C$5:$C$24,MATCH($C148,Fournisseurs!$A$5:$A$24,0)),""))</f>
        <v/>
      </c>
      <c r="U148" s="25" t="str">
        <f aca="false">IF($C148="","",IFERROR(INDEX(Fournisseurs!$D$5:$D$24,MATCH($C148,Fournisseurs!$A$5:$A$24,0)),""))</f>
        <v/>
      </c>
      <c r="V148" s="26" t="str">
        <f aca="false">IF($C148="","",IFERROR(INDEX(Fournisseurs!$G$5:$G$24,MATCH($C148,Fournisseurs!$A$5:$A$24,0)),""))</f>
        <v/>
      </c>
      <c r="W148" s="18" t="str">
        <f aca="false">IF($C148="","",IFERROR(INDEX(Fournisseurs!$H$5:$H$24,MATCH($C148,Fournisseurs!$A$5:$A$24,0)),""))</f>
        <v/>
      </c>
      <c r="X148" s="18" t="str">
        <f aca="false">IF($C148="","",IFERROR(INDEX(Fournisseurs!$B$5:$B$24,MATCH($C148,Fournisseurs!$A$5:$A$24,0)),""))</f>
        <v/>
      </c>
      <c r="Y148" s="18" t="str">
        <f aca="false">IF($A148="","",IF(AND($A148&lt;&gt;"",$C148&lt;&gt;"",ISNUMBER($I148),ISNUMBER($J148),ISNUMBER($M148)),IF(AND($I148&gt;=1,$J148&gt;0,OR($K148="HT",$K148="TTC"),$M148&gt;=1,IFERROR(INDEX(Fournisseurs!$T$5:$T$24,MATCH($C148,Fournisseurs!$A$5:$A$24,0)),0)=1),1,0),0))</f>
        <v/>
      </c>
      <c r="Z148" s="27" t="str">
        <f aca="false">IF($Y148=1,$J148*(1-N($L148)),"")</f>
        <v/>
      </c>
      <c r="AA148" s="28" t="str">
        <f aca="false">IF($Y148=1,IF($K148="TTC",$Z148/(1+$V148),$Z148),"")</f>
        <v/>
      </c>
      <c r="AB148" s="28" t="str">
        <f aca="false">IF($Y148=1,IF($K148="TTC",$Z148-$AA148,$AA148*$V148),"")</f>
        <v/>
      </c>
      <c r="AC148" s="27" t="str">
        <f aca="false">IF($Y148=1,$AA148*$U148*$M148,"")</f>
        <v/>
      </c>
      <c r="AD148" s="26" t="str">
        <f aca="false">IF($Y148=1,$AC148/SUMIFS($AC$6:$AC$205,$C$6:$C$205,$C148,$Y$6:$Y$205,1),"")</f>
        <v/>
      </c>
      <c r="AE148" s="28" t="str">
        <f aca="false">IF($Y148=1,(INDEX(Fournisseurs!$J$5:$J$24,MATCH($C148,Fournisseurs!$A$5:$A$24,0))+INDEX(Fournisseurs!$K$5:$K$24,MATCH($C148,Fournisseurs!$A$5:$A$24,0)))*$U148*$AD148/($I148*$M148),"")</f>
        <v/>
      </c>
      <c r="AF148" s="28" t="str">
        <f aca="false">IF($Y148=1,INDEX(Fournisseurs!$L$5:$L$24,MATCH($C148,Fournisseurs!$A$5:$A$24,0))*$AD148/($I148*$M148),"")</f>
        <v/>
      </c>
      <c r="AG148" s="28" t="str">
        <f aca="false">IF($Y148=1,$AA148*$U148/$I148,"")</f>
        <v/>
      </c>
      <c r="AH148" s="28" t="str">
        <f aca="false">IF($Y148=1,$AB148*$U148/$I148,"")</f>
        <v/>
      </c>
      <c r="AI148" s="18" t="str">
        <f aca="false">IF($Y148=1,IF(AND(Paramètres!$B$4="EFFECTIVE",$W148="CH",$AB148&gt;0),1,0),"")</f>
        <v/>
      </c>
      <c r="AJ148" s="28" t="str">
        <f aca="false">IF($Y148=1,IF($X148&lt;&gt;"CH",($AG148+$AE148+$AF148)*Paramètres!$B$14,0),"")</f>
        <v/>
      </c>
      <c r="AK148" s="29" t="str">
        <f aca="false">IF($Y148=1,$AG148+IF($AI148=1,0,$AH148)+$AE148+$AF148+IF(Paramètres!$B$4="NOT_REGISTERED",$AJ148,0),"")</f>
        <v/>
      </c>
      <c r="AL148" s="27" t="str">
        <f aca="false">IF($Y148=1,($AK148+Paramètres!$B$7+Paramètres!$B$8+Paramètres!$B$9+Paramètres!$B$10)/((1-Paramètres!$B$11)/(1+Paramètres!$B$5)-Paramètres!$B$6),"")</f>
        <v/>
      </c>
      <c r="AM148" s="26" t="str">
        <f aca="false">IF(AND($Y148=1,ISNUMBER($R148)),IF($R148&gt;0,$AL148/$R148-1,""),"")</f>
        <v/>
      </c>
      <c r="AN148" s="27" t="str">
        <f aca="false">IF(AND($Y148=1,ISNUMBER($R148)),IF($R148&gt;0,$R148/(1+Paramètres!$B$5)-$AK148-($R148*Paramètres!$B$6+Paramètres!$B$7)-Paramètres!$B$8-Paramètres!$B$9-Paramètres!$B$10,""),"")</f>
        <v/>
      </c>
      <c r="AO148" s="26" t="str">
        <f aca="false">IF(ISNUMBER($AN148),$AN148/($R148/(1+Paramètres!$B$5)),"")</f>
        <v/>
      </c>
      <c r="AP148" s="30" t="str">
        <f aca="false">IF($A148="","",IF($Y148&lt;&gt;1,"INCOMPLET",IF(NOT(ISNUMBER($AM148)),"SANS RÉF. MARCHÉ",IF($AM148&lt;=Paramètres!$B$12,"OK",IF(AND($AO148&gt;=Paramètres!$B$15,$AN148&gt;=Paramètres!$B$16),"À REVOIR","NON RENTABLE")))))</f>
        <v/>
      </c>
      <c r="AQ148" s="18" t="str">
        <f aca="false">TRIM(IF(AND($Y148=1,ISNUMBER($N148)),IF($M148&lt;$N148,"MOQ ",""),"")&amp;IF(AND($Y148=1,ISNUMBER($O148)),IF($O148&lt;$I148*$M148,"DISPO ",""),"")&amp;IF($S148="O","FICTIF ","")&amp;IF($Y148=1,IF(AND($K148="TTC",$W148&lt;&gt;"CH"),"TVA-ÉTRANGÈRE ",""),""))</f>
        <v/>
      </c>
      <c r="AR148" s="18" t="str">
        <f aca="false">IF($Y148=1,COUNTIFS($A$6:$A$205,$A148,$AK$6:$AK$205,"&lt;"&amp;$AK148,$Y$6:$Y$205,1)+1,"")</f>
        <v/>
      </c>
      <c r="AS148" s="18" t="str">
        <f aca="false">IF(ISNUMBER($AR148),$A148&amp;"|"&amp;$AR148,"")</f>
        <v/>
      </c>
      <c r="AT148" s="27" t="str">
        <f aca="false">IF($Y148=1,$AK148*$I148*$M148,"")</f>
        <v/>
      </c>
    </row>
    <row r="149" customFormat="false" ht="15" hidden="false" customHeight="false" outlineLevel="0" collapsed="false">
      <c r="A149" s="9"/>
      <c r="B149" s="9"/>
      <c r="C149" s="9"/>
      <c r="D149" s="9"/>
      <c r="E149" s="9"/>
      <c r="F149" s="9"/>
      <c r="G149" s="9"/>
      <c r="H149" s="9"/>
      <c r="I149" s="9"/>
      <c r="J149" s="13"/>
      <c r="K149" s="9"/>
      <c r="L149" s="12"/>
      <c r="M149" s="9"/>
      <c r="N149" s="9"/>
      <c r="O149" s="9"/>
      <c r="P149" s="9"/>
      <c r="Q149" s="16"/>
      <c r="R149" s="13"/>
      <c r="S149" s="9"/>
      <c r="T149" s="18" t="str">
        <f aca="false">IF($C149="","",IFERROR(INDEX(Fournisseurs!$C$5:$C$24,MATCH($C149,Fournisseurs!$A$5:$A$24,0)),""))</f>
        <v/>
      </c>
      <c r="U149" s="25" t="str">
        <f aca="false">IF($C149="","",IFERROR(INDEX(Fournisseurs!$D$5:$D$24,MATCH($C149,Fournisseurs!$A$5:$A$24,0)),""))</f>
        <v/>
      </c>
      <c r="V149" s="26" t="str">
        <f aca="false">IF($C149="","",IFERROR(INDEX(Fournisseurs!$G$5:$G$24,MATCH($C149,Fournisseurs!$A$5:$A$24,0)),""))</f>
        <v/>
      </c>
      <c r="W149" s="18" t="str">
        <f aca="false">IF($C149="","",IFERROR(INDEX(Fournisseurs!$H$5:$H$24,MATCH($C149,Fournisseurs!$A$5:$A$24,0)),""))</f>
        <v/>
      </c>
      <c r="X149" s="18" t="str">
        <f aca="false">IF($C149="","",IFERROR(INDEX(Fournisseurs!$B$5:$B$24,MATCH($C149,Fournisseurs!$A$5:$A$24,0)),""))</f>
        <v/>
      </c>
      <c r="Y149" s="18" t="str">
        <f aca="false">IF($A149="","",IF(AND($A149&lt;&gt;"",$C149&lt;&gt;"",ISNUMBER($I149),ISNUMBER($J149),ISNUMBER($M149)),IF(AND($I149&gt;=1,$J149&gt;0,OR($K149="HT",$K149="TTC"),$M149&gt;=1,IFERROR(INDEX(Fournisseurs!$T$5:$T$24,MATCH($C149,Fournisseurs!$A$5:$A$24,0)),0)=1),1,0),0))</f>
        <v/>
      </c>
      <c r="Z149" s="27" t="str">
        <f aca="false">IF($Y149=1,$J149*(1-N($L149)),"")</f>
        <v/>
      </c>
      <c r="AA149" s="28" t="str">
        <f aca="false">IF($Y149=1,IF($K149="TTC",$Z149/(1+$V149),$Z149),"")</f>
        <v/>
      </c>
      <c r="AB149" s="28" t="str">
        <f aca="false">IF($Y149=1,IF($K149="TTC",$Z149-$AA149,$AA149*$V149),"")</f>
        <v/>
      </c>
      <c r="AC149" s="27" t="str">
        <f aca="false">IF($Y149=1,$AA149*$U149*$M149,"")</f>
        <v/>
      </c>
      <c r="AD149" s="26" t="str">
        <f aca="false">IF($Y149=1,$AC149/SUMIFS($AC$6:$AC$205,$C$6:$C$205,$C149,$Y$6:$Y$205,1),"")</f>
        <v/>
      </c>
      <c r="AE149" s="28" t="str">
        <f aca="false">IF($Y149=1,(INDEX(Fournisseurs!$J$5:$J$24,MATCH($C149,Fournisseurs!$A$5:$A$24,0))+INDEX(Fournisseurs!$K$5:$K$24,MATCH($C149,Fournisseurs!$A$5:$A$24,0)))*$U149*$AD149/($I149*$M149),"")</f>
        <v/>
      </c>
      <c r="AF149" s="28" t="str">
        <f aca="false">IF($Y149=1,INDEX(Fournisseurs!$L$5:$L$24,MATCH($C149,Fournisseurs!$A$5:$A$24,0))*$AD149/($I149*$M149),"")</f>
        <v/>
      </c>
      <c r="AG149" s="28" t="str">
        <f aca="false">IF($Y149=1,$AA149*$U149/$I149,"")</f>
        <v/>
      </c>
      <c r="AH149" s="28" t="str">
        <f aca="false">IF($Y149=1,$AB149*$U149/$I149,"")</f>
        <v/>
      </c>
      <c r="AI149" s="18" t="str">
        <f aca="false">IF($Y149=1,IF(AND(Paramètres!$B$4="EFFECTIVE",$W149="CH",$AB149&gt;0),1,0),"")</f>
        <v/>
      </c>
      <c r="AJ149" s="28" t="str">
        <f aca="false">IF($Y149=1,IF($X149&lt;&gt;"CH",($AG149+$AE149+$AF149)*Paramètres!$B$14,0),"")</f>
        <v/>
      </c>
      <c r="AK149" s="29" t="str">
        <f aca="false">IF($Y149=1,$AG149+IF($AI149=1,0,$AH149)+$AE149+$AF149+IF(Paramètres!$B$4="NOT_REGISTERED",$AJ149,0),"")</f>
        <v/>
      </c>
      <c r="AL149" s="27" t="str">
        <f aca="false">IF($Y149=1,($AK149+Paramètres!$B$7+Paramètres!$B$8+Paramètres!$B$9+Paramètres!$B$10)/((1-Paramètres!$B$11)/(1+Paramètres!$B$5)-Paramètres!$B$6),"")</f>
        <v/>
      </c>
      <c r="AM149" s="26" t="str">
        <f aca="false">IF(AND($Y149=1,ISNUMBER($R149)),IF($R149&gt;0,$AL149/$R149-1,""),"")</f>
        <v/>
      </c>
      <c r="AN149" s="27" t="str">
        <f aca="false">IF(AND($Y149=1,ISNUMBER($R149)),IF($R149&gt;0,$R149/(1+Paramètres!$B$5)-$AK149-($R149*Paramètres!$B$6+Paramètres!$B$7)-Paramètres!$B$8-Paramètres!$B$9-Paramètres!$B$10,""),"")</f>
        <v/>
      </c>
      <c r="AO149" s="26" t="str">
        <f aca="false">IF(ISNUMBER($AN149),$AN149/($R149/(1+Paramètres!$B$5)),"")</f>
        <v/>
      </c>
      <c r="AP149" s="30" t="str">
        <f aca="false">IF($A149="","",IF($Y149&lt;&gt;1,"INCOMPLET",IF(NOT(ISNUMBER($AM149)),"SANS RÉF. MARCHÉ",IF($AM149&lt;=Paramètres!$B$12,"OK",IF(AND($AO149&gt;=Paramètres!$B$15,$AN149&gt;=Paramètres!$B$16),"À REVOIR","NON RENTABLE")))))</f>
        <v/>
      </c>
      <c r="AQ149" s="18" t="str">
        <f aca="false">TRIM(IF(AND($Y149=1,ISNUMBER($N149)),IF($M149&lt;$N149,"MOQ ",""),"")&amp;IF(AND($Y149=1,ISNUMBER($O149)),IF($O149&lt;$I149*$M149,"DISPO ",""),"")&amp;IF($S149="O","FICTIF ","")&amp;IF($Y149=1,IF(AND($K149="TTC",$W149&lt;&gt;"CH"),"TVA-ÉTRANGÈRE ",""),""))</f>
        <v/>
      </c>
      <c r="AR149" s="18" t="str">
        <f aca="false">IF($Y149=1,COUNTIFS($A$6:$A$205,$A149,$AK$6:$AK$205,"&lt;"&amp;$AK149,$Y$6:$Y$205,1)+1,"")</f>
        <v/>
      </c>
      <c r="AS149" s="18" t="str">
        <f aca="false">IF(ISNUMBER($AR149),$A149&amp;"|"&amp;$AR149,"")</f>
        <v/>
      </c>
      <c r="AT149" s="27" t="str">
        <f aca="false">IF($Y149=1,$AK149*$I149*$M149,"")</f>
        <v/>
      </c>
    </row>
    <row r="150" customFormat="false" ht="15" hidden="false" customHeight="false" outlineLevel="0" collapsed="false">
      <c r="A150" s="9"/>
      <c r="B150" s="9"/>
      <c r="C150" s="9"/>
      <c r="D150" s="9"/>
      <c r="E150" s="9"/>
      <c r="F150" s="9"/>
      <c r="G150" s="9"/>
      <c r="H150" s="9"/>
      <c r="I150" s="9"/>
      <c r="J150" s="13"/>
      <c r="K150" s="9"/>
      <c r="L150" s="12"/>
      <c r="M150" s="9"/>
      <c r="N150" s="9"/>
      <c r="O150" s="9"/>
      <c r="P150" s="9"/>
      <c r="Q150" s="16"/>
      <c r="R150" s="13"/>
      <c r="S150" s="9"/>
      <c r="T150" s="18" t="str">
        <f aca="false">IF($C150="","",IFERROR(INDEX(Fournisseurs!$C$5:$C$24,MATCH($C150,Fournisseurs!$A$5:$A$24,0)),""))</f>
        <v/>
      </c>
      <c r="U150" s="25" t="str">
        <f aca="false">IF($C150="","",IFERROR(INDEX(Fournisseurs!$D$5:$D$24,MATCH($C150,Fournisseurs!$A$5:$A$24,0)),""))</f>
        <v/>
      </c>
      <c r="V150" s="26" t="str">
        <f aca="false">IF($C150="","",IFERROR(INDEX(Fournisseurs!$G$5:$G$24,MATCH($C150,Fournisseurs!$A$5:$A$24,0)),""))</f>
        <v/>
      </c>
      <c r="W150" s="18" t="str">
        <f aca="false">IF($C150="","",IFERROR(INDEX(Fournisseurs!$H$5:$H$24,MATCH($C150,Fournisseurs!$A$5:$A$24,0)),""))</f>
        <v/>
      </c>
      <c r="X150" s="18" t="str">
        <f aca="false">IF($C150="","",IFERROR(INDEX(Fournisseurs!$B$5:$B$24,MATCH($C150,Fournisseurs!$A$5:$A$24,0)),""))</f>
        <v/>
      </c>
      <c r="Y150" s="18" t="str">
        <f aca="false">IF($A150="","",IF(AND($A150&lt;&gt;"",$C150&lt;&gt;"",ISNUMBER($I150),ISNUMBER($J150),ISNUMBER($M150)),IF(AND($I150&gt;=1,$J150&gt;0,OR($K150="HT",$K150="TTC"),$M150&gt;=1,IFERROR(INDEX(Fournisseurs!$T$5:$T$24,MATCH($C150,Fournisseurs!$A$5:$A$24,0)),0)=1),1,0),0))</f>
        <v/>
      </c>
      <c r="Z150" s="27" t="str">
        <f aca="false">IF($Y150=1,$J150*(1-N($L150)),"")</f>
        <v/>
      </c>
      <c r="AA150" s="28" t="str">
        <f aca="false">IF($Y150=1,IF($K150="TTC",$Z150/(1+$V150),$Z150),"")</f>
        <v/>
      </c>
      <c r="AB150" s="28" t="str">
        <f aca="false">IF($Y150=1,IF($K150="TTC",$Z150-$AA150,$AA150*$V150),"")</f>
        <v/>
      </c>
      <c r="AC150" s="27" t="str">
        <f aca="false">IF($Y150=1,$AA150*$U150*$M150,"")</f>
        <v/>
      </c>
      <c r="AD150" s="26" t="str">
        <f aca="false">IF($Y150=1,$AC150/SUMIFS($AC$6:$AC$205,$C$6:$C$205,$C150,$Y$6:$Y$205,1),"")</f>
        <v/>
      </c>
      <c r="AE150" s="28" t="str">
        <f aca="false">IF($Y150=1,(INDEX(Fournisseurs!$J$5:$J$24,MATCH($C150,Fournisseurs!$A$5:$A$24,0))+INDEX(Fournisseurs!$K$5:$K$24,MATCH($C150,Fournisseurs!$A$5:$A$24,0)))*$U150*$AD150/($I150*$M150),"")</f>
        <v/>
      </c>
      <c r="AF150" s="28" t="str">
        <f aca="false">IF($Y150=1,INDEX(Fournisseurs!$L$5:$L$24,MATCH($C150,Fournisseurs!$A$5:$A$24,0))*$AD150/($I150*$M150),"")</f>
        <v/>
      </c>
      <c r="AG150" s="28" t="str">
        <f aca="false">IF($Y150=1,$AA150*$U150/$I150,"")</f>
        <v/>
      </c>
      <c r="AH150" s="28" t="str">
        <f aca="false">IF($Y150=1,$AB150*$U150/$I150,"")</f>
        <v/>
      </c>
      <c r="AI150" s="18" t="str">
        <f aca="false">IF($Y150=1,IF(AND(Paramètres!$B$4="EFFECTIVE",$W150="CH",$AB150&gt;0),1,0),"")</f>
        <v/>
      </c>
      <c r="AJ150" s="28" t="str">
        <f aca="false">IF($Y150=1,IF($X150&lt;&gt;"CH",($AG150+$AE150+$AF150)*Paramètres!$B$14,0),"")</f>
        <v/>
      </c>
      <c r="AK150" s="29" t="str">
        <f aca="false">IF($Y150=1,$AG150+IF($AI150=1,0,$AH150)+$AE150+$AF150+IF(Paramètres!$B$4="NOT_REGISTERED",$AJ150,0),"")</f>
        <v/>
      </c>
      <c r="AL150" s="27" t="str">
        <f aca="false">IF($Y150=1,($AK150+Paramètres!$B$7+Paramètres!$B$8+Paramètres!$B$9+Paramètres!$B$10)/((1-Paramètres!$B$11)/(1+Paramètres!$B$5)-Paramètres!$B$6),"")</f>
        <v/>
      </c>
      <c r="AM150" s="26" t="str">
        <f aca="false">IF(AND($Y150=1,ISNUMBER($R150)),IF($R150&gt;0,$AL150/$R150-1,""),"")</f>
        <v/>
      </c>
      <c r="AN150" s="27" t="str">
        <f aca="false">IF(AND($Y150=1,ISNUMBER($R150)),IF($R150&gt;0,$R150/(1+Paramètres!$B$5)-$AK150-($R150*Paramètres!$B$6+Paramètres!$B$7)-Paramètres!$B$8-Paramètres!$B$9-Paramètres!$B$10,""),"")</f>
        <v/>
      </c>
      <c r="AO150" s="26" t="str">
        <f aca="false">IF(ISNUMBER($AN150),$AN150/($R150/(1+Paramètres!$B$5)),"")</f>
        <v/>
      </c>
      <c r="AP150" s="30" t="str">
        <f aca="false">IF($A150="","",IF($Y150&lt;&gt;1,"INCOMPLET",IF(NOT(ISNUMBER($AM150)),"SANS RÉF. MARCHÉ",IF($AM150&lt;=Paramètres!$B$12,"OK",IF(AND($AO150&gt;=Paramètres!$B$15,$AN150&gt;=Paramètres!$B$16),"À REVOIR","NON RENTABLE")))))</f>
        <v/>
      </c>
      <c r="AQ150" s="18" t="str">
        <f aca="false">TRIM(IF(AND($Y150=1,ISNUMBER($N150)),IF($M150&lt;$N150,"MOQ ",""),"")&amp;IF(AND($Y150=1,ISNUMBER($O150)),IF($O150&lt;$I150*$M150,"DISPO ",""),"")&amp;IF($S150="O","FICTIF ","")&amp;IF($Y150=1,IF(AND($K150="TTC",$W150&lt;&gt;"CH"),"TVA-ÉTRANGÈRE ",""),""))</f>
        <v/>
      </c>
      <c r="AR150" s="18" t="str">
        <f aca="false">IF($Y150=1,COUNTIFS($A$6:$A$205,$A150,$AK$6:$AK$205,"&lt;"&amp;$AK150,$Y$6:$Y$205,1)+1,"")</f>
        <v/>
      </c>
      <c r="AS150" s="18" t="str">
        <f aca="false">IF(ISNUMBER($AR150),$A150&amp;"|"&amp;$AR150,"")</f>
        <v/>
      </c>
      <c r="AT150" s="27" t="str">
        <f aca="false">IF($Y150=1,$AK150*$I150*$M150,"")</f>
        <v/>
      </c>
    </row>
    <row r="151" customFormat="false" ht="15" hidden="false" customHeight="false" outlineLevel="0" collapsed="false">
      <c r="A151" s="9"/>
      <c r="B151" s="9"/>
      <c r="C151" s="9"/>
      <c r="D151" s="9"/>
      <c r="E151" s="9"/>
      <c r="F151" s="9"/>
      <c r="G151" s="9"/>
      <c r="H151" s="9"/>
      <c r="I151" s="9"/>
      <c r="J151" s="13"/>
      <c r="K151" s="9"/>
      <c r="L151" s="12"/>
      <c r="M151" s="9"/>
      <c r="N151" s="9"/>
      <c r="O151" s="9"/>
      <c r="P151" s="9"/>
      <c r="Q151" s="16"/>
      <c r="R151" s="13"/>
      <c r="S151" s="9"/>
      <c r="T151" s="18" t="str">
        <f aca="false">IF($C151="","",IFERROR(INDEX(Fournisseurs!$C$5:$C$24,MATCH($C151,Fournisseurs!$A$5:$A$24,0)),""))</f>
        <v/>
      </c>
      <c r="U151" s="25" t="str">
        <f aca="false">IF($C151="","",IFERROR(INDEX(Fournisseurs!$D$5:$D$24,MATCH($C151,Fournisseurs!$A$5:$A$24,0)),""))</f>
        <v/>
      </c>
      <c r="V151" s="26" t="str">
        <f aca="false">IF($C151="","",IFERROR(INDEX(Fournisseurs!$G$5:$G$24,MATCH($C151,Fournisseurs!$A$5:$A$24,0)),""))</f>
        <v/>
      </c>
      <c r="W151" s="18" t="str">
        <f aca="false">IF($C151="","",IFERROR(INDEX(Fournisseurs!$H$5:$H$24,MATCH($C151,Fournisseurs!$A$5:$A$24,0)),""))</f>
        <v/>
      </c>
      <c r="X151" s="18" t="str">
        <f aca="false">IF($C151="","",IFERROR(INDEX(Fournisseurs!$B$5:$B$24,MATCH($C151,Fournisseurs!$A$5:$A$24,0)),""))</f>
        <v/>
      </c>
      <c r="Y151" s="18" t="str">
        <f aca="false">IF($A151="","",IF(AND($A151&lt;&gt;"",$C151&lt;&gt;"",ISNUMBER($I151),ISNUMBER($J151),ISNUMBER($M151)),IF(AND($I151&gt;=1,$J151&gt;0,OR($K151="HT",$K151="TTC"),$M151&gt;=1,IFERROR(INDEX(Fournisseurs!$T$5:$T$24,MATCH($C151,Fournisseurs!$A$5:$A$24,0)),0)=1),1,0),0))</f>
        <v/>
      </c>
      <c r="Z151" s="27" t="str">
        <f aca="false">IF($Y151=1,$J151*(1-N($L151)),"")</f>
        <v/>
      </c>
      <c r="AA151" s="28" t="str">
        <f aca="false">IF($Y151=1,IF($K151="TTC",$Z151/(1+$V151),$Z151),"")</f>
        <v/>
      </c>
      <c r="AB151" s="28" t="str">
        <f aca="false">IF($Y151=1,IF($K151="TTC",$Z151-$AA151,$AA151*$V151),"")</f>
        <v/>
      </c>
      <c r="AC151" s="27" t="str">
        <f aca="false">IF($Y151=1,$AA151*$U151*$M151,"")</f>
        <v/>
      </c>
      <c r="AD151" s="26" t="str">
        <f aca="false">IF($Y151=1,$AC151/SUMIFS($AC$6:$AC$205,$C$6:$C$205,$C151,$Y$6:$Y$205,1),"")</f>
        <v/>
      </c>
      <c r="AE151" s="28" t="str">
        <f aca="false">IF($Y151=1,(INDEX(Fournisseurs!$J$5:$J$24,MATCH($C151,Fournisseurs!$A$5:$A$24,0))+INDEX(Fournisseurs!$K$5:$K$24,MATCH($C151,Fournisseurs!$A$5:$A$24,0)))*$U151*$AD151/($I151*$M151),"")</f>
        <v/>
      </c>
      <c r="AF151" s="28" t="str">
        <f aca="false">IF($Y151=1,INDEX(Fournisseurs!$L$5:$L$24,MATCH($C151,Fournisseurs!$A$5:$A$24,0))*$AD151/($I151*$M151),"")</f>
        <v/>
      </c>
      <c r="AG151" s="28" t="str">
        <f aca="false">IF($Y151=1,$AA151*$U151/$I151,"")</f>
        <v/>
      </c>
      <c r="AH151" s="28" t="str">
        <f aca="false">IF($Y151=1,$AB151*$U151/$I151,"")</f>
        <v/>
      </c>
      <c r="AI151" s="18" t="str">
        <f aca="false">IF($Y151=1,IF(AND(Paramètres!$B$4="EFFECTIVE",$W151="CH",$AB151&gt;0),1,0),"")</f>
        <v/>
      </c>
      <c r="AJ151" s="28" t="str">
        <f aca="false">IF($Y151=1,IF($X151&lt;&gt;"CH",($AG151+$AE151+$AF151)*Paramètres!$B$14,0),"")</f>
        <v/>
      </c>
      <c r="AK151" s="29" t="str">
        <f aca="false">IF($Y151=1,$AG151+IF($AI151=1,0,$AH151)+$AE151+$AF151+IF(Paramètres!$B$4="NOT_REGISTERED",$AJ151,0),"")</f>
        <v/>
      </c>
      <c r="AL151" s="27" t="str">
        <f aca="false">IF($Y151=1,($AK151+Paramètres!$B$7+Paramètres!$B$8+Paramètres!$B$9+Paramètres!$B$10)/((1-Paramètres!$B$11)/(1+Paramètres!$B$5)-Paramètres!$B$6),"")</f>
        <v/>
      </c>
      <c r="AM151" s="26" t="str">
        <f aca="false">IF(AND($Y151=1,ISNUMBER($R151)),IF($R151&gt;0,$AL151/$R151-1,""),"")</f>
        <v/>
      </c>
      <c r="AN151" s="27" t="str">
        <f aca="false">IF(AND($Y151=1,ISNUMBER($R151)),IF($R151&gt;0,$R151/(1+Paramètres!$B$5)-$AK151-($R151*Paramètres!$B$6+Paramètres!$B$7)-Paramètres!$B$8-Paramètres!$B$9-Paramètres!$B$10,""),"")</f>
        <v/>
      </c>
      <c r="AO151" s="26" t="str">
        <f aca="false">IF(ISNUMBER($AN151),$AN151/($R151/(1+Paramètres!$B$5)),"")</f>
        <v/>
      </c>
      <c r="AP151" s="30" t="str">
        <f aca="false">IF($A151="","",IF($Y151&lt;&gt;1,"INCOMPLET",IF(NOT(ISNUMBER($AM151)),"SANS RÉF. MARCHÉ",IF($AM151&lt;=Paramètres!$B$12,"OK",IF(AND($AO151&gt;=Paramètres!$B$15,$AN151&gt;=Paramètres!$B$16),"À REVOIR","NON RENTABLE")))))</f>
        <v/>
      </c>
      <c r="AQ151" s="18" t="str">
        <f aca="false">TRIM(IF(AND($Y151=1,ISNUMBER($N151)),IF($M151&lt;$N151,"MOQ ",""),"")&amp;IF(AND($Y151=1,ISNUMBER($O151)),IF($O151&lt;$I151*$M151,"DISPO ",""),"")&amp;IF($S151="O","FICTIF ","")&amp;IF($Y151=1,IF(AND($K151="TTC",$W151&lt;&gt;"CH"),"TVA-ÉTRANGÈRE ",""),""))</f>
        <v/>
      </c>
      <c r="AR151" s="18" t="str">
        <f aca="false">IF($Y151=1,COUNTIFS($A$6:$A$205,$A151,$AK$6:$AK$205,"&lt;"&amp;$AK151,$Y$6:$Y$205,1)+1,"")</f>
        <v/>
      </c>
      <c r="AS151" s="18" t="str">
        <f aca="false">IF(ISNUMBER($AR151),$A151&amp;"|"&amp;$AR151,"")</f>
        <v/>
      </c>
      <c r="AT151" s="27" t="str">
        <f aca="false">IF($Y151=1,$AK151*$I151*$M151,"")</f>
        <v/>
      </c>
    </row>
    <row r="152" customFormat="false" ht="15" hidden="false" customHeight="false" outlineLevel="0" collapsed="false">
      <c r="A152" s="9"/>
      <c r="B152" s="9"/>
      <c r="C152" s="9"/>
      <c r="D152" s="9"/>
      <c r="E152" s="9"/>
      <c r="F152" s="9"/>
      <c r="G152" s="9"/>
      <c r="H152" s="9"/>
      <c r="I152" s="9"/>
      <c r="J152" s="13"/>
      <c r="K152" s="9"/>
      <c r="L152" s="12"/>
      <c r="M152" s="9"/>
      <c r="N152" s="9"/>
      <c r="O152" s="9"/>
      <c r="P152" s="9"/>
      <c r="Q152" s="16"/>
      <c r="R152" s="13"/>
      <c r="S152" s="9"/>
      <c r="T152" s="18" t="str">
        <f aca="false">IF($C152="","",IFERROR(INDEX(Fournisseurs!$C$5:$C$24,MATCH($C152,Fournisseurs!$A$5:$A$24,0)),""))</f>
        <v/>
      </c>
      <c r="U152" s="25" t="str">
        <f aca="false">IF($C152="","",IFERROR(INDEX(Fournisseurs!$D$5:$D$24,MATCH($C152,Fournisseurs!$A$5:$A$24,0)),""))</f>
        <v/>
      </c>
      <c r="V152" s="26" t="str">
        <f aca="false">IF($C152="","",IFERROR(INDEX(Fournisseurs!$G$5:$G$24,MATCH($C152,Fournisseurs!$A$5:$A$24,0)),""))</f>
        <v/>
      </c>
      <c r="W152" s="18" t="str">
        <f aca="false">IF($C152="","",IFERROR(INDEX(Fournisseurs!$H$5:$H$24,MATCH($C152,Fournisseurs!$A$5:$A$24,0)),""))</f>
        <v/>
      </c>
      <c r="X152" s="18" t="str">
        <f aca="false">IF($C152="","",IFERROR(INDEX(Fournisseurs!$B$5:$B$24,MATCH($C152,Fournisseurs!$A$5:$A$24,0)),""))</f>
        <v/>
      </c>
      <c r="Y152" s="18" t="str">
        <f aca="false">IF($A152="","",IF(AND($A152&lt;&gt;"",$C152&lt;&gt;"",ISNUMBER($I152),ISNUMBER($J152),ISNUMBER($M152)),IF(AND($I152&gt;=1,$J152&gt;0,OR($K152="HT",$K152="TTC"),$M152&gt;=1,IFERROR(INDEX(Fournisseurs!$T$5:$T$24,MATCH($C152,Fournisseurs!$A$5:$A$24,0)),0)=1),1,0),0))</f>
        <v/>
      </c>
      <c r="Z152" s="27" t="str">
        <f aca="false">IF($Y152=1,$J152*(1-N($L152)),"")</f>
        <v/>
      </c>
      <c r="AA152" s="28" t="str">
        <f aca="false">IF($Y152=1,IF($K152="TTC",$Z152/(1+$V152),$Z152),"")</f>
        <v/>
      </c>
      <c r="AB152" s="28" t="str">
        <f aca="false">IF($Y152=1,IF($K152="TTC",$Z152-$AA152,$AA152*$V152),"")</f>
        <v/>
      </c>
      <c r="AC152" s="27" t="str">
        <f aca="false">IF($Y152=1,$AA152*$U152*$M152,"")</f>
        <v/>
      </c>
      <c r="AD152" s="26" t="str">
        <f aca="false">IF($Y152=1,$AC152/SUMIFS($AC$6:$AC$205,$C$6:$C$205,$C152,$Y$6:$Y$205,1),"")</f>
        <v/>
      </c>
      <c r="AE152" s="28" t="str">
        <f aca="false">IF($Y152=1,(INDEX(Fournisseurs!$J$5:$J$24,MATCH($C152,Fournisseurs!$A$5:$A$24,0))+INDEX(Fournisseurs!$K$5:$K$24,MATCH($C152,Fournisseurs!$A$5:$A$24,0)))*$U152*$AD152/($I152*$M152),"")</f>
        <v/>
      </c>
      <c r="AF152" s="28" t="str">
        <f aca="false">IF($Y152=1,INDEX(Fournisseurs!$L$5:$L$24,MATCH($C152,Fournisseurs!$A$5:$A$24,0))*$AD152/($I152*$M152),"")</f>
        <v/>
      </c>
      <c r="AG152" s="28" t="str">
        <f aca="false">IF($Y152=1,$AA152*$U152/$I152,"")</f>
        <v/>
      </c>
      <c r="AH152" s="28" t="str">
        <f aca="false">IF($Y152=1,$AB152*$U152/$I152,"")</f>
        <v/>
      </c>
      <c r="AI152" s="18" t="str">
        <f aca="false">IF($Y152=1,IF(AND(Paramètres!$B$4="EFFECTIVE",$W152="CH",$AB152&gt;0),1,0),"")</f>
        <v/>
      </c>
      <c r="AJ152" s="28" t="str">
        <f aca="false">IF($Y152=1,IF($X152&lt;&gt;"CH",($AG152+$AE152+$AF152)*Paramètres!$B$14,0),"")</f>
        <v/>
      </c>
      <c r="AK152" s="29" t="str">
        <f aca="false">IF($Y152=1,$AG152+IF($AI152=1,0,$AH152)+$AE152+$AF152+IF(Paramètres!$B$4="NOT_REGISTERED",$AJ152,0),"")</f>
        <v/>
      </c>
      <c r="AL152" s="27" t="str">
        <f aca="false">IF($Y152=1,($AK152+Paramètres!$B$7+Paramètres!$B$8+Paramètres!$B$9+Paramètres!$B$10)/((1-Paramètres!$B$11)/(1+Paramètres!$B$5)-Paramètres!$B$6),"")</f>
        <v/>
      </c>
      <c r="AM152" s="26" t="str">
        <f aca="false">IF(AND($Y152=1,ISNUMBER($R152)),IF($R152&gt;0,$AL152/$R152-1,""),"")</f>
        <v/>
      </c>
      <c r="AN152" s="27" t="str">
        <f aca="false">IF(AND($Y152=1,ISNUMBER($R152)),IF($R152&gt;0,$R152/(1+Paramètres!$B$5)-$AK152-($R152*Paramètres!$B$6+Paramètres!$B$7)-Paramètres!$B$8-Paramètres!$B$9-Paramètres!$B$10,""),"")</f>
        <v/>
      </c>
      <c r="AO152" s="26" t="str">
        <f aca="false">IF(ISNUMBER($AN152),$AN152/($R152/(1+Paramètres!$B$5)),"")</f>
        <v/>
      </c>
      <c r="AP152" s="30" t="str">
        <f aca="false">IF($A152="","",IF($Y152&lt;&gt;1,"INCOMPLET",IF(NOT(ISNUMBER($AM152)),"SANS RÉF. MARCHÉ",IF($AM152&lt;=Paramètres!$B$12,"OK",IF(AND($AO152&gt;=Paramètres!$B$15,$AN152&gt;=Paramètres!$B$16),"À REVOIR","NON RENTABLE")))))</f>
        <v/>
      </c>
      <c r="AQ152" s="18" t="str">
        <f aca="false">TRIM(IF(AND($Y152=1,ISNUMBER($N152)),IF($M152&lt;$N152,"MOQ ",""),"")&amp;IF(AND($Y152=1,ISNUMBER($O152)),IF($O152&lt;$I152*$M152,"DISPO ",""),"")&amp;IF($S152="O","FICTIF ","")&amp;IF($Y152=1,IF(AND($K152="TTC",$W152&lt;&gt;"CH"),"TVA-ÉTRANGÈRE ",""),""))</f>
        <v/>
      </c>
      <c r="AR152" s="18" t="str">
        <f aca="false">IF($Y152=1,COUNTIFS($A$6:$A$205,$A152,$AK$6:$AK$205,"&lt;"&amp;$AK152,$Y$6:$Y$205,1)+1,"")</f>
        <v/>
      </c>
      <c r="AS152" s="18" t="str">
        <f aca="false">IF(ISNUMBER($AR152),$A152&amp;"|"&amp;$AR152,"")</f>
        <v/>
      </c>
      <c r="AT152" s="27" t="str">
        <f aca="false">IF($Y152=1,$AK152*$I152*$M152,"")</f>
        <v/>
      </c>
    </row>
    <row r="153" customFormat="false" ht="15" hidden="false" customHeight="false" outlineLevel="0" collapsed="false">
      <c r="A153" s="9"/>
      <c r="B153" s="9"/>
      <c r="C153" s="9"/>
      <c r="D153" s="9"/>
      <c r="E153" s="9"/>
      <c r="F153" s="9"/>
      <c r="G153" s="9"/>
      <c r="H153" s="9"/>
      <c r="I153" s="9"/>
      <c r="J153" s="13"/>
      <c r="K153" s="9"/>
      <c r="L153" s="12"/>
      <c r="M153" s="9"/>
      <c r="N153" s="9"/>
      <c r="O153" s="9"/>
      <c r="P153" s="9"/>
      <c r="Q153" s="16"/>
      <c r="R153" s="13"/>
      <c r="S153" s="9"/>
      <c r="T153" s="18" t="str">
        <f aca="false">IF($C153="","",IFERROR(INDEX(Fournisseurs!$C$5:$C$24,MATCH($C153,Fournisseurs!$A$5:$A$24,0)),""))</f>
        <v/>
      </c>
      <c r="U153" s="25" t="str">
        <f aca="false">IF($C153="","",IFERROR(INDEX(Fournisseurs!$D$5:$D$24,MATCH($C153,Fournisseurs!$A$5:$A$24,0)),""))</f>
        <v/>
      </c>
      <c r="V153" s="26" t="str">
        <f aca="false">IF($C153="","",IFERROR(INDEX(Fournisseurs!$G$5:$G$24,MATCH($C153,Fournisseurs!$A$5:$A$24,0)),""))</f>
        <v/>
      </c>
      <c r="W153" s="18" t="str">
        <f aca="false">IF($C153="","",IFERROR(INDEX(Fournisseurs!$H$5:$H$24,MATCH($C153,Fournisseurs!$A$5:$A$24,0)),""))</f>
        <v/>
      </c>
      <c r="X153" s="18" t="str">
        <f aca="false">IF($C153="","",IFERROR(INDEX(Fournisseurs!$B$5:$B$24,MATCH($C153,Fournisseurs!$A$5:$A$24,0)),""))</f>
        <v/>
      </c>
      <c r="Y153" s="18" t="str">
        <f aca="false">IF($A153="","",IF(AND($A153&lt;&gt;"",$C153&lt;&gt;"",ISNUMBER($I153),ISNUMBER($J153),ISNUMBER($M153)),IF(AND($I153&gt;=1,$J153&gt;0,OR($K153="HT",$K153="TTC"),$M153&gt;=1,IFERROR(INDEX(Fournisseurs!$T$5:$T$24,MATCH($C153,Fournisseurs!$A$5:$A$24,0)),0)=1),1,0),0))</f>
        <v/>
      </c>
      <c r="Z153" s="27" t="str">
        <f aca="false">IF($Y153=1,$J153*(1-N($L153)),"")</f>
        <v/>
      </c>
      <c r="AA153" s="28" t="str">
        <f aca="false">IF($Y153=1,IF($K153="TTC",$Z153/(1+$V153),$Z153),"")</f>
        <v/>
      </c>
      <c r="AB153" s="28" t="str">
        <f aca="false">IF($Y153=1,IF($K153="TTC",$Z153-$AA153,$AA153*$V153),"")</f>
        <v/>
      </c>
      <c r="AC153" s="27" t="str">
        <f aca="false">IF($Y153=1,$AA153*$U153*$M153,"")</f>
        <v/>
      </c>
      <c r="AD153" s="26" t="str">
        <f aca="false">IF($Y153=1,$AC153/SUMIFS($AC$6:$AC$205,$C$6:$C$205,$C153,$Y$6:$Y$205,1),"")</f>
        <v/>
      </c>
      <c r="AE153" s="28" t="str">
        <f aca="false">IF($Y153=1,(INDEX(Fournisseurs!$J$5:$J$24,MATCH($C153,Fournisseurs!$A$5:$A$24,0))+INDEX(Fournisseurs!$K$5:$K$24,MATCH($C153,Fournisseurs!$A$5:$A$24,0)))*$U153*$AD153/($I153*$M153),"")</f>
        <v/>
      </c>
      <c r="AF153" s="28" t="str">
        <f aca="false">IF($Y153=1,INDEX(Fournisseurs!$L$5:$L$24,MATCH($C153,Fournisseurs!$A$5:$A$24,0))*$AD153/($I153*$M153),"")</f>
        <v/>
      </c>
      <c r="AG153" s="28" t="str">
        <f aca="false">IF($Y153=1,$AA153*$U153/$I153,"")</f>
        <v/>
      </c>
      <c r="AH153" s="28" t="str">
        <f aca="false">IF($Y153=1,$AB153*$U153/$I153,"")</f>
        <v/>
      </c>
      <c r="AI153" s="18" t="str">
        <f aca="false">IF($Y153=1,IF(AND(Paramètres!$B$4="EFFECTIVE",$W153="CH",$AB153&gt;0),1,0),"")</f>
        <v/>
      </c>
      <c r="AJ153" s="28" t="str">
        <f aca="false">IF($Y153=1,IF($X153&lt;&gt;"CH",($AG153+$AE153+$AF153)*Paramètres!$B$14,0),"")</f>
        <v/>
      </c>
      <c r="AK153" s="29" t="str">
        <f aca="false">IF($Y153=1,$AG153+IF($AI153=1,0,$AH153)+$AE153+$AF153+IF(Paramètres!$B$4="NOT_REGISTERED",$AJ153,0),"")</f>
        <v/>
      </c>
      <c r="AL153" s="27" t="str">
        <f aca="false">IF($Y153=1,($AK153+Paramètres!$B$7+Paramètres!$B$8+Paramètres!$B$9+Paramètres!$B$10)/((1-Paramètres!$B$11)/(1+Paramètres!$B$5)-Paramètres!$B$6),"")</f>
        <v/>
      </c>
      <c r="AM153" s="26" t="str">
        <f aca="false">IF(AND($Y153=1,ISNUMBER($R153)),IF($R153&gt;0,$AL153/$R153-1,""),"")</f>
        <v/>
      </c>
      <c r="AN153" s="27" t="str">
        <f aca="false">IF(AND($Y153=1,ISNUMBER($R153)),IF($R153&gt;0,$R153/(1+Paramètres!$B$5)-$AK153-($R153*Paramètres!$B$6+Paramètres!$B$7)-Paramètres!$B$8-Paramètres!$B$9-Paramètres!$B$10,""),"")</f>
        <v/>
      </c>
      <c r="AO153" s="26" t="str">
        <f aca="false">IF(ISNUMBER($AN153),$AN153/($R153/(1+Paramètres!$B$5)),"")</f>
        <v/>
      </c>
      <c r="AP153" s="30" t="str">
        <f aca="false">IF($A153="","",IF($Y153&lt;&gt;1,"INCOMPLET",IF(NOT(ISNUMBER($AM153)),"SANS RÉF. MARCHÉ",IF($AM153&lt;=Paramètres!$B$12,"OK",IF(AND($AO153&gt;=Paramètres!$B$15,$AN153&gt;=Paramètres!$B$16),"À REVOIR","NON RENTABLE")))))</f>
        <v/>
      </c>
      <c r="AQ153" s="18" t="str">
        <f aca="false">TRIM(IF(AND($Y153=1,ISNUMBER($N153)),IF($M153&lt;$N153,"MOQ ",""),"")&amp;IF(AND($Y153=1,ISNUMBER($O153)),IF($O153&lt;$I153*$M153,"DISPO ",""),"")&amp;IF($S153="O","FICTIF ","")&amp;IF($Y153=1,IF(AND($K153="TTC",$W153&lt;&gt;"CH"),"TVA-ÉTRANGÈRE ",""),""))</f>
        <v/>
      </c>
      <c r="AR153" s="18" t="str">
        <f aca="false">IF($Y153=1,COUNTIFS($A$6:$A$205,$A153,$AK$6:$AK$205,"&lt;"&amp;$AK153,$Y$6:$Y$205,1)+1,"")</f>
        <v/>
      </c>
      <c r="AS153" s="18" t="str">
        <f aca="false">IF(ISNUMBER($AR153),$A153&amp;"|"&amp;$AR153,"")</f>
        <v/>
      </c>
      <c r="AT153" s="27" t="str">
        <f aca="false">IF($Y153=1,$AK153*$I153*$M153,"")</f>
        <v/>
      </c>
    </row>
    <row r="154" customFormat="false" ht="15" hidden="false" customHeight="false" outlineLevel="0" collapsed="false">
      <c r="A154" s="9"/>
      <c r="B154" s="9"/>
      <c r="C154" s="9"/>
      <c r="D154" s="9"/>
      <c r="E154" s="9"/>
      <c r="F154" s="9"/>
      <c r="G154" s="9"/>
      <c r="H154" s="9"/>
      <c r="I154" s="9"/>
      <c r="J154" s="13"/>
      <c r="K154" s="9"/>
      <c r="L154" s="12"/>
      <c r="M154" s="9"/>
      <c r="N154" s="9"/>
      <c r="O154" s="9"/>
      <c r="P154" s="9"/>
      <c r="Q154" s="16"/>
      <c r="R154" s="13"/>
      <c r="S154" s="9"/>
      <c r="T154" s="18" t="str">
        <f aca="false">IF($C154="","",IFERROR(INDEX(Fournisseurs!$C$5:$C$24,MATCH($C154,Fournisseurs!$A$5:$A$24,0)),""))</f>
        <v/>
      </c>
      <c r="U154" s="25" t="str">
        <f aca="false">IF($C154="","",IFERROR(INDEX(Fournisseurs!$D$5:$D$24,MATCH($C154,Fournisseurs!$A$5:$A$24,0)),""))</f>
        <v/>
      </c>
      <c r="V154" s="26" t="str">
        <f aca="false">IF($C154="","",IFERROR(INDEX(Fournisseurs!$G$5:$G$24,MATCH($C154,Fournisseurs!$A$5:$A$24,0)),""))</f>
        <v/>
      </c>
      <c r="W154" s="18" t="str">
        <f aca="false">IF($C154="","",IFERROR(INDEX(Fournisseurs!$H$5:$H$24,MATCH($C154,Fournisseurs!$A$5:$A$24,0)),""))</f>
        <v/>
      </c>
      <c r="X154" s="18" t="str">
        <f aca="false">IF($C154="","",IFERROR(INDEX(Fournisseurs!$B$5:$B$24,MATCH($C154,Fournisseurs!$A$5:$A$24,0)),""))</f>
        <v/>
      </c>
      <c r="Y154" s="18" t="str">
        <f aca="false">IF($A154="","",IF(AND($A154&lt;&gt;"",$C154&lt;&gt;"",ISNUMBER($I154),ISNUMBER($J154),ISNUMBER($M154)),IF(AND($I154&gt;=1,$J154&gt;0,OR($K154="HT",$K154="TTC"),$M154&gt;=1,IFERROR(INDEX(Fournisseurs!$T$5:$T$24,MATCH($C154,Fournisseurs!$A$5:$A$24,0)),0)=1),1,0),0))</f>
        <v/>
      </c>
      <c r="Z154" s="27" t="str">
        <f aca="false">IF($Y154=1,$J154*(1-N($L154)),"")</f>
        <v/>
      </c>
      <c r="AA154" s="28" t="str">
        <f aca="false">IF($Y154=1,IF($K154="TTC",$Z154/(1+$V154),$Z154),"")</f>
        <v/>
      </c>
      <c r="AB154" s="28" t="str">
        <f aca="false">IF($Y154=1,IF($K154="TTC",$Z154-$AA154,$AA154*$V154),"")</f>
        <v/>
      </c>
      <c r="AC154" s="27" t="str">
        <f aca="false">IF($Y154=1,$AA154*$U154*$M154,"")</f>
        <v/>
      </c>
      <c r="AD154" s="26" t="str">
        <f aca="false">IF($Y154=1,$AC154/SUMIFS($AC$6:$AC$205,$C$6:$C$205,$C154,$Y$6:$Y$205,1),"")</f>
        <v/>
      </c>
      <c r="AE154" s="28" t="str">
        <f aca="false">IF($Y154=1,(INDEX(Fournisseurs!$J$5:$J$24,MATCH($C154,Fournisseurs!$A$5:$A$24,0))+INDEX(Fournisseurs!$K$5:$K$24,MATCH($C154,Fournisseurs!$A$5:$A$24,0)))*$U154*$AD154/($I154*$M154),"")</f>
        <v/>
      </c>
      <c r="AF154" s="28" t="str">
        <f aca="false">IF($Y154=1,INDEX(Fournisseurs!$L$5:$L$24,MATCH($C154,Fournisseurs!$A$5:$A$24,0))*$AD154/($I154*$M154),"")</f>
        <v/>
      </c>
      <c r="AG154" s="28" t="str">
        <f aca="false">IF($Y154=1,$AA154*$U154/$I154,"")</f>
        <v/>
      </c>
      <c r="AH154" s="28" t="str">
        <f aca="false">IF($Y154=1,$AB154*$U154/$I154,"")</f>
        <v/>
      </c>
      <c r="AI154" s="18" t="str">
        <f aca="false">IF($Y154=1,IF(AND(Paramètres!$B$4="EFFECTIVE",$W154="CH",$AB154&gt;0),1,0),"")</f>
        <v/>
      </c>
      <c r="AJ154" s="28" t="str">
        <f aca="false">IF($Y154=1,IF($X154&lt;&gt;"CH",($AG154+$AE154+$AF154)*Paramètres!$B$14,0),"")</f>
        <v/>
      </c>
      <c r="AK154" s="29" t="str">
        <f aca="false">IF($Y154=1,$AG154+IF($AI154=1,0,$AH154)+$AE154+$AF154+IF(Paramètres!$B$4="NOT_REGISTERED",$AJ154,0),"")</f>
        <v/>
      </c>
      <c r="AL154" s="27" t="str">
        <f aca="false">IF($Y154=1,($AK154+Paramètres!$B$7+Paramètres!$B$8+Paramètres!$B$9+Paramètres!$B$10)/((1-Paramètres!$B$11)/(1+Paramètres!$B$5)-Paramètres!$B$6),"")</f>
        <v/>
      </c>
      <c r="AM154" s="26" t="str">
        <f aca="false">IF(AND($Y154=1,ISNUMBER($R154)),IF($R154&gt;0,$AL154/$R154-1,""),"")</f>
        <v/>
      </c>
      <c r="AN154" s="27" t="str">
        <f aca="false">IF(AND($Y154=1,ISNUMBER($R154)),IF($R154&gt;0,$R154/(1+Paramètres!$B$5)-$AK154-($R154*Paramètres!$B$6+Paramètres!$B$7)-Paramètres!$B$8-Paramètres!$B$9-Paramètres!$B$10,""),"")</f>
        <v/>
      </c>
      <c r="AO154" s="26" t="str">
        <f aca="false">IF(ISNUMBER($AN154),$AN154/($R154/(1+Paramètres!$B$5)),"")</f>
        <v/>
      </c>
      <c r="AP154" s="30" t="str">
        <f aca="false">IF($A154="","",IF($Y154&lt;&gt;1,"INCOMPLET",IF(NOT(ISNUMBER($AM154)),"SANS RÉF. MARCHÉ",IF($AM154&lt;=Paramètres!$B$12,"OK",IF(AND($AO154&gt;=Paramètres!$B$15,$AN154&gt;=Paramètres!$B$16),"À REVOIR","NON RENTABLE")))))</f>
        <v/>
      </c>
      <c r="AQ154" s="18" t="str">
        <f aca="false">TRIM(IF(AND($Y154=1,ISNUMBER($N154)),IF($M154&lt;$N154,"MOQ ",""),"")&amp;IF(AND($Y154=1,ISNUMBER($O154)),IF($O154&lt;$I154*$M154,"DISPO ",""),"")&amp;IF($S154="O","FICTIF ","")&amp;IF($Y154=1,IF(AND($K154="TTC",$W154&lt;&gt;"CH"),"TVA-ÉTRANGÈRE ",""),""))</f>
        <v/>
      </c>
      <c r="AR154" s="18" t="str">
        <f aca="false">IF($Y154=1,COUNTIFS($A$6:$A$205,$A154,$AK$6:$AK$205,"&lt;"&amp;$AK154,$Y$6:$Y$205,1)+1,"")</f>
        <v/>
      </c>
      <c r="AS154" s="18" t="str">
        <f aca="false">IF(ISNUMBER($AR154),$A154&amp;"|"&amp;$AR154,"")</f>
        <v/>
      </c>
      <c r="AT154" s="27" t="str">
        <f aca="false">IF($Y154=1,$AK154*$I154*$M154,"")</f>
        <v/>
      </c>
    </row>
    <row r="155" customFormat="false" ht="15" hidden="false" customHeight="false" outlineLevel="0" collapsed="false">
      <c r="A155" s="9"/>
      <c r="B155" s="9"/>
      <c r="C155" s="9"/>
      <c r="D155" s="9"/>
      <c r="E155" s="9"/>
      <c r="F155" s="9"/>
      <c r="G155" s="9"/>
      <c r="H155" s="9"/>
      <c r="I155" s="9"/>
      <c r="J155" s="13"/>
      <c r="K155" s="9"/>
      <c r="L155" s="12"/>
      <c r="M155" s="9"/>
      <c r="N155" s="9"/>
      <c r="O155" s="9"/>
      <c r="P155" s="9"/>
      <c r="Q155" s="16"/>
      <c r="R155" s="13"/>
      <c r="S155" s="9"/>
      <c r="T155" s="18" t="str">
        <f aca="false">IF($C155="","",IFERROR(INDEX(Fournisseurs!$C$5:$C$24,MATCH($C155,Fournisseurs!$A$5:$A$24,0)),""))</f>
        <v/>
      </c>
      <c r="U155" s="25" t="str">
        <f aca="false">IF($C155="","",IFERROR(INDEX(Fournisseurs!$D$5:$D$24,MATCH($C155,Fournisseurs!$A$5:$A$24,0)),""))</f>
        <v/>
      </c>
      <c r="V155" s="26" t="str">
        <f aca="false">IF($C155="","",IFERROR(INDEX(Fournisseurs!$G$5:$G$24,MATCH($C155,Fournisseurs!$A$5:$A$24,0)),""))</f>
        <v/>
      </c>
      <c r="W155" s="18" t="str">
        <f aca="false">IF($C155="","",IFERROR(INDEX(Fournisseurs!$H$5:$H$24,MATCH($C155,Fournisseurs!$A$5:$A$24,0)),""))</f>
        <v/>
      </c>
      <c r="X155" s="18" t="str">
        <f aca="false">IF($C155="","",IFERROR(INDEX(Fournisseurs!$B$5:$B$24,MATCH($C155,Fournisseurs!$A$5:$A$24,0)),""))</f>
        <v/>
      </c>
      <c r="Y155" s="18" t="str">
        <f aca="false">IF($A155="","",IF(AND($A155&lt;&gt;"",$C155&lt;&gt;"",ISNUMBER($I155),ISNUMBER($J155),ISNUMBER($M155)),IF(AND($I155&gt;=1,$J155&gt;0,OR($K155="HT",$K155="TTC"),$M155&gt;=1,IFERROR(INDEX(Fournisseurs!$T$5:$T$24,MATCH($C155,Fournisseurs!$A$5:$A$24,0)),0)=1),1,0),0))</f>
        <v/>
      </c>
      <c r="Z155" s="27" t="str">
        <f aca="false">IF($Y155=1,$J155*(1-N($L155)),"")</f>
        <v/>
      </c>
      <c r="AA155" s="28" t="str">
        <f aca="false">IF($Y155=1,IF($K155="TTC",$Z155/(1+$V155),$Z155),"")</f>
        <v/>
      </c>
      <c r="AB155" s="28" t="str">
        <f aca="false">IF($Y155=1,IF($K155="TTC",$Z155-$AA155,$AA155*$V155),"")</f>
        <v/>
      </c>
      <c r="AC155" s="27" t="str">
        <f aca="false">IF($Y155=1,$AA155*$U155*$M155,"")</f>
        <v/>
      </c>
      <c r="AD155" s="26" t="str">
        <f aca="false">IF($Y155=1,$AC155/SUMIFS($AC$6:$AC$205,$C$6:$C$205,$C155,$Y$6:$Y$205,1),"")</f>
        <v/>
      </c>
      <c r="AE155" s="28" t="str">
        <f aca="false">IF($Y155=1,(INDEX(Fournisseurs!$J$5:$J$24,MATCH($C155,Fournisseurs!$A$5:$A$24,0))+INDEX(Fournisseurs!$K$5:$K$24,MATCH($C155,Fournisseurs!$A$5:$A$24,0)))*$U155*$AD155/($I155*$M155),"")</f>
        <v/>
      </c>
      <c r="AF155" s="28" t="str">
        <f aca="false">IF($Y155=1,INDEX(Fournisseurs!$L$5:$L$24,MATCH($C155,Fournisseurs!$A$5:$A$24,0))*$AD155/($I155*$M155),"")</f>
        <v/>
      </c>
      <c r="AG155" s="28" t="str">
        <f aca="false">IF($Y155=1,$AA155*$U155/$I155,"")</f>
        <v/>
      </c>
      <c r="AH155" s="28" t="str">
        <f aca="false">IF($Y155=1,$AB155*$U155/$I155,"")</f>
        <v/>
      </c>
      <c r="AI155" s="18" t="str">
        <f aca="false">IF($Y155=1,IF(AND(Paramètres!$B$4="EFFECTIVE",$W155="CH",$AB155&gt;0),1,0),"")</f>
        <v/>
      </c>
      <c r="AJ155" s="28" t="str">
        <f aca="false">IF($Y155=1,IF($X155&lt;&gt;"CH",($AG155+$AE155+$AF155)*Paramètres!$B$14,0),"")</f>
        <v/>
      </c>
      <c r="AK155" s="29" t="str">
        <f aca="false">IF($Y155=1,$AG155+IF($AI155=1,0,$AH155)+$AE155+$AF155+IF(Paramètres!$B$4="NOT_REGISTERED",$AJ155,0),"")</f>
        <v/>
      </c>
      <c r="AL155" s="27" t="str">
        <f aca="false">IF($Y155=1,($AK155+Paramètres!$B$7+Paramètres!$B$8+Paramètres!$B$9+Paramètres!$B$10)/((1-Paramètres!$B$11)/(1+Paramètres!$B$5)-Paramètres!$B$6),"")</f>
        <v/>
      </c>
      <c r="AM155" s="26" t="str">
        <f aca="false">IF(AND($Y155=1,ISNUMBER($R155)),IF($R155&gt;0,$AL155/$R155-1,""),"")</f>
        <v/>
      </c>
      <c r="AN155" s="27" t="str">
        <f aca="false">IF(AND($Y155=1,ISNUMBER($R155)),IF($R155&gt;0,$R155/(1+Paramètres!$B$5)-$AK155-($R155*Paramètres!$B$6+Paramètres!$B$7)-Paramètres!$B$8-Paramètres!$B$9-Paramètres!$B$10,""),"")</f>
        <v/>
      </c>
      <c r="AO155" s="26" t="str">
        <f aca="false">IF(ISNUMBER($AN155),$AN155/($R155/(1+Paramètres!$B$5)),"")</f>
        <v/>
      </c>
      <c r="AP155" s="30" t="str">
        <f aca="false">IF($A155="","",IF($Y155&lt;&gt;1,"INCOMPLET",IF(NOT(ISNUMBER($AM155)),"SANS RÉF. MARCHÉ",IF($AM155&lt;=Paramètres!$B$12,"OK",IF(AND($AO155&gt;=Paramètres!$B$15,$AN155&gt;=Paramètres!$B$16),"À REVOIR","NON RENTABLE")))))</f>
        <v/>
      </c>
      <c r="AQ155" s="18" t="str">
        <f aca="false">TRIM(IF(AND($Y155=1,ISNUMBER($N155)),IF($M155&lt;$N155,"MOQ ",""),"")&amp;IF(AND($Y155=1,ISNUMBER($O155)),IF($O155&lt;$I155*$M155,"DISPO ",""),"")&amp;IF($S155="O","FICTIF ","")&amp;IF($Y155=1,IF(AND($K155="TTC",$W155&lt;&gt;"CH"),"TVA-ÉTRANGÈRE ",""),""))</f>
        <v/>
      </c>
      <c r="AR155" s="18" t="str">
        <f aca="false">IF($Y155=1,COUNTIFS($A$6:$A$205,$A155,$AK$6:$AK$205,"&lt;"&amp;$AK155,$Y$6:$Y$205,1)+1,"")</f>
        <v/>
      </c>
      <c r="AS155" s="18" t="str">
        <f aca="false">IF(ISNUMBER($AR155),$A155&amp;"|"&amp;$AR155,"")</f>
        <v/>
      </c>
      <c r="AT155" s="27" t="str">
        <f aca="false">IF($Y155=1,$AK155*$I155*$M155,"")</f>
        <v/>
      </c>
    </row>
    <row r="156" customFormat="false" ht="15" hidden="false" customHeight="false" outlineLevel="0" collapsed="false">
      <c r="A156" s="9"/>
      <c r="B156" s="9"/>
      <c r="C156" s="9"/>
      <c r="D156" s="9"/>
      <c r="E156" s="9"/>
      <c r="F156" s="9"/>
      <c r="G156" s="9"/>
      <c r="H156" s="9"/>
      <c r="I156" s="9"/>
      <c r="J156" s="13"/>
      <c r="K156" s="9"/>
      <c r="L156" s="12"/>
      <c r="M156" s="9"/>
      <c r="N156" s="9"/>
      <c r="O156" s="9"/>
      <c r="P156" s="9"/>
      <c r="Q156" s="16"/>
      <c r="R156" s="13"/>
      <c r="S156" s="9"/>
      <c r="T156" s="18" t="str">
        <f aca="false">IF($C156="","",IFERROR(INDEX(Fournisseurs!$C$5:$C$24,MATCH($C156,Fournisseurs!$A$5:$A$24,0)),""))</f>
        <v/>
      </c>
      <c r="U156" s="25" t="str">
        <f aca="false">IF($C156="","",IFERROR(INDEX(Fournisseurs!$D$5:$D$24,MATCH($C156,Fournisseurs!$A$5:$A$24,0)),""))</f>
        <v/>
      </c>
      <c r="V156" s="26" t="str">
        <f aca="false">IF($C156="","",IFERROR(INDEX(Fournisseurs!$G$5:$G$24,MATCH($C156,Fournisseurs!$A$5:$A$24,0)),""))</f>
        <v/>
      </c>
      <c r="W156" s="18" t="str">
        <f aca="false">IF($C156="","",IFERROR(INDEX(Fournisseurs!$H$5:$H$24,MATCH($C156,Fournisseurs!$A$5:$A$24,0)),""))</f>
        <v/>
      </c>
      <c r="X156" s="18" t="str">
        <f aca="false">IF($C156="","",IFERROR(INDEX(Fournisseurs!$B$5:$B$24,MATCH($C156,Fournisseurs!$A$5:$A$24,0)),""))</f>
        <v/>
      </c>
      <c r="Y156" s="18" t="str">
        <f aca="false">IF($A156="","",IF(AND($A156&lt;&gt;"",$C156&lt;&gt;"",ISNUMBER($I156),ISNUMBER($J156),ISNUMBER($M156)),IF(AND($I156&gt;=1,$J156&gt;0,OR($K156="HT",$K156="TTC"),$M156&gt;=1,IFERROR(INDEX(Fournisseurs!$T$5:$T$24,MATCH($C156,Fournisseurs!$A$5:$A$24,0)),0)=1),1,0),0))</f>
        <v/>
      </c>
      <c r="Z156" s="27" t="str">
        <f aca="false">IF($Y156=1,$J156*(1-N($L156)),"")</f>
        <v/>
      </c>
      <c r="AA156" s="28" t="str">
        <f aca="false">IF($Y156=1,IF($K156="TTC",$Z156/(1+$V156),$Z156),"")</f>
        <v/>
      </c>
      <c r="AB156" s="28" t="str">
        <f aca="false">IF($Y156=1,IF($K156="TTC",$Z156-$AA156,$AA156*$V156),"")</f>
        <v/>
      </c>
      <c r="AC156" s="27" t="str">
        <f aca="false">IF($Y156=1,$AA156*$U156*$M156,"")</f>
        <v/>
      </c>
      <c r="AD156" s="26" t="str">
        <f aca="false">IF($Y156=1,$AC156/SUMIFS($AC$6:$AC$205,$C$6:$C$205,$C156,$Y$6:$Y$205,1),"")</f>
        <v/>
      </c>
      <c r="AE156" s="28" t="str">
        <f aca="false">IF($Y156=1,(INDEX(Fournisseurs!$J$5:$J$24,MATCH($C156,Fournisseurs!$A$5:$A$24,0))+INDEX(Fournisseurs!$K$5:$K$24,MATCH($C156,Fournisseurs!$A$5:$A$24,0)))*$U156*$AD156/($I156*$M156),"")</f>
        <v/>
      </c>
      <c r="AF156" s="28" t="str">
        <f aca="false">IF($Y156=1,INDEX(Fournisseurs!$L$5:$L$24,MATCH($C156,Fournisseurs!$A$5:$A$24,0))*$AD156/($I156*$M156),"")</f>
        <v/>
      </c>
      <c r="AG156" s="28" t="str">
        <f aca="false">IF($Y156=1,$AA156*$U156/$I156,"")</f>
        <v/>
      </c>
      <c r="AH156" s="28" t="str">
        <f aca="false">IF($Y156=1,$AB156*$U156/$I156,"")</f>
        <v/>
      </c>
      <c r="AI156" s="18" t="str">
        <f aca="false">IF($Y156=1,IF(AND(Paramètres!$B$4="EFFECTIVE",$W156="CH",$AB156&gt;0),1,0),"")</f>
        <v/>
      </c>
      <c r="AJ156" s="28" t="str">
        <f aca="false">IF($Y156=1,IF($X156&lt;&gt;"CH",($AG156+$AE156+$AF156)*Paramètres!$B$14,0),"")</f>
        <v/>
      </c>
      <c r="AK156" s="29" t="str">
        <f aca="false">IF($Y156=1,$AG156+IF($AI156=1,0,$AH156)+$AE156+$AF156+IF(Paramètres!$B$4="NOT_REGISTERED",$AJ156,0),"")</f>
        <v/>
      </c>
      <c r="AL156" s="27" t="str">
        <f aca="false">IF($Y156=1,($AK156+Paramètres!$B$7+Paramètres!$B$8+Paramètres!$B$9+Paramètres!$B$10)/((1-Paramètres!$B$11)/(1+Paramètres!$B$5)-Paramètres!$B$6),"")</f>
        <v/>
      </c>
      <c r="AM156" s="26" t="str">
        <f aca="false">IF(AND($Y156=1,ISNUMBER($R156)),IF($R156&gt;0,$AL156/$R156-1,""),"")</f>
        <v/>
      </c>
      <c r="AN156" s="27" t="str">
        <f aca="false">IF(AND($Y156=1,ISNUMBER($R156)),IF($R156&gt;0,$R156/(1+Paramètres!$B$5)-$AK156-($R156*Paramètres!$B$6+Paramètres!$B$7)-Paramètres!$B$8-Paramètres!$B$9-Paramètres!$B$10,""),"")</f>
        <v/>
      </c>
      <c r="AO156" s="26" t="str">
        <f aca="false">IF(ISNUMBER($AN156),$AN156/($R156/(1+Paramètres!$B$5)),"")</f>
        <v/>
      </c>
      <c r="AP156" s="30" t="str">
        <f aca="false">IF($A156="","",IF($Y156&lt;&gt;1,"INCOMPLET",IF(NOT(ISNUMBER($AM156)),"SANS RÉF. MARCHÉ",IF($AM156&lt;=Paramètres!$B$12,"OK",IF(AND($AO156&gt;=Paramètres!$B$15,$AN156&gt;=Paramètres!$B$16),"À REVOIR","NON RENTABLE")))))</f>
        <v/>
      </c>
      <c r="AQ156" s="18" t="str">
        <f aca="false">TRIM(IF(AND($Y156=1,ISNUMBER($N156)),IF($M156&lt;$N156,"MOQ ",""),"")&amp;IF(AND($Y156=1,ISNUMBER($O156)),IF($O156&lt;$I156*$M156,"DISPO ",""),"")&amp;IF($S156="O","FICTIF ","")&amp;IF($Y156=1,IF(AND($K156="TTC",$W156&lt;&gt;"CH"),"TVA-ÉTRANGÈRE ",""),""))</f>
        <v/>
      </c>
      <c r="AR156" s="18" t="str">
        <f aca="false">IF($Y156=1,COUNTIFS($A$6:$A$205,$A156,$AK$6:$AK$205,"&lt;"&amp;$AK156,$Y$6:$Y$205,1)+1,"")</f>
        <v/>
      </c>
      <c r="AS156" s="18" t="str">
        <f aca="false">IF(ISNUMBER($AR156),$A156&amp;"|"&amp;$AR156,"")</f>
        <v/>
      </c>
      <c r="AT156" s="27" t="str">
        <f aca="false">IF($Y156=1,$AK156*$I156*$M156,"")</f>
        <v/>
      </c>
    </row>
    <row r="157" customFormat="false" ht="15" hidden="false" customHeight="false" outlineLevel="0" collapsed="false">
      <c r="A157" s="9"/>
      <c r="B157" s="9"/>
      <c r="C157" s="9"/>
      <c r="D157" s="9"/>
      <c r="E157" s="9"/>
      <c r="F157" s="9"/>
      <c r="G157" s="9"/>
      <c r="H157" s="9"/>
      <c r="I157" s="9"/>
      <c r="J157" s="13"/>
      <c r="K157" s="9"/>
      <c r="L157" s="12"/>
      <c r="M157" s="9"/>
      <c r="N157" s="9"/>
      <c r="O157" s="9"/>
      <c r="P157" s="9"/>
      <c r="Q157" s="16"/>
      <c r="R157" s="13"/>
      <c r="S157" s="9"/>
      <c r="T157" s="18" t="str">
        <f aca="false">IF($C157="","",IFERROR(INDEX(Fournisseurs!$C$5:$C$24,MATCH($C157,Fournisseurs!$A$5:$A$24,0)),""))</f>
        <v/>
      </c>
      <c r="U157" s="25" t="str">
        <f aca="false">IF($C157="","",IFERROR(INDEX(Fournisseurs!$D$5:$D$24,MATCH($C157,Fournisseurs!$A$5:$A$24,0)),""))</f>
        <v/>
      </c>
      <c r="V157" s="26" t="str">
        <f aca="false">IF($C157="","",IFERROR(INDEX(Fournisseurs!$G$5:$G$24,MATCH($C157,Fournisseurs!$A$5:$A$24,0)),""))</f>
        <v/>
      </c>
      <c r="W157" s="18" t="str">
        <f aca="false">IF($C157="","",IFERROR(INDEX(Fournisseurs!$H$5:$H$24,MATCH($C157,Fournisseurs!$A$5:$A$24,0)),""))</f>
        <v/>
      </c>
      <c r="X157" s="18" t="str">
        <f aca="false">IF($C157="","",IFERROR(INDEX(Fournisseurs!$B$5:$B$24,MATCH($C157,Fournisseurs!$A$5:$A$24,0)),""))</f>
        <v/>
      </c>
      <c r="Y157" s="18" t="str">
        <f aca="false">IF($A157="","",IF(AND($A157&lt;&gt;"",$C157&lt;&gt;"",ISNUMBER($I157),ISNUMBER($J157),ISNUMBER($M157)),IF(AND($I157&gt;=1,$J157&gt;0,OR($K157="HT",$K157="TTC"),$M157&gt;=1,IFERROR(INDEX(Fournisseurs!$T$5:$T$24,MATCH($C157,Fournisseurs!$A$5:$A$24,0)),0)=1),1,0),0))</f>
        <v/>
      </c>
      <c r="Z157" s="27" t="str">
        <f aca="false">IF($Y157=1,$J157*(1-N($L157)),"")</f>
        <v/>
      </c>
      <c r="AA157" s="28" t="str">
        <f aca="false">IF($Y157=1,IF($K157="TTC",$Z157/(1+$V157),$Z157),"")</f>
        <v/>
      </c>
      <c r="AB157" s="28" t="str">
        <f aca="false">IF($Y157=1,IF($K157="TTC",$Z157-$AA157,$AA157*$V157),"")</f>
        <v/>
      </c>
      <c r="AC157" s="27" t="str">
        <f aca="false">IF($Y157=1,$AA157*$U157*$M157,"")</f>
        <v/>
      </c>
      <c r="AD157" s="26" t="str">
        <f aca="false">IF($Y157=1,$AC157/SUMIFS($AC$6:$AC$205,$C$6:$C$205,$C157,$Y$6:$Y$205,1),"")</f>
        <v/>
      </c>
      <c r="AE157" s="28" t="str">
        <f aca="false">IF($Y157=1,(INDEX(Fournisseurs!$J$5:$J$24,MATCH($C157,Fournisseurs!$A$5:$A$24,0))+INDEX(Fournisseurs!$K$5:$K$24,MATCH($C157,Fournisseurs!$A$5:$A$24,0)))*$U157*$AD157/($I157*$M157),"")</f>
        <v/>
      </c>
      <c r="AF157" s="28" t="str">
        <f aca="false">IF($Y157=1,INDEX(Fournisseurs!$L$5:$L$24,MATCH($C157,Fournisseurs!$A$5:$A$24,0))*$AD157/($I157*$M157),"")</f>
        <v/>
      </c>
      <c r="AG157" s="28" t="str">
        <f aca="false">IF($Y157=1,$AA157*$U157/$I157,"")</f>
        <v/>
      </c>
      <c r="AH157" s="28" t="str">
        <f aca="false">IF($Y157=1,$AB157*$U157/$I157,"")</f>
        <v/>
      </c>
      <c r="AI157" s="18" t="str">
        <f aca="false">IF($Y157=1,IF(AND(Paramètres!$B$4="EFFECTIVE",$W157="CH",$AB157&gt;0),1,0),"")</f>
        <v/>
      </c>
      <c r="AJ157" s="28" t="str">
        <f aca="false">IF($Y157=1,IF($X157&lt;&gt;"CH",($AG157+$AE157+$AF157)*Paramètres!$B$14,0),"")</f>
        <v/>
      </c>
      <c r="AK157" s="29" t="str">
        <f aca="false">IF($Y157=1,$AG157+IF($AI157=1,0,$AH157)+$AE157+$AF157+IF(Paramètres!$B$4="NOT_REGISTERED",$AJ157,0),"")</f>
        <v/>
      </c>
      <c r="AL157" s="27" t="str">
        <f aca="false">IF($Y157=1,($AK157+Paramètres!$B$7+Paramètres!$B$8+Paramètres!$B$9+Paramètres!$B$10)/((1-Paramètres!$B$11)/(1+Paramètres!$B$5)-Paramètres!$B$6),"")</f>
        <v/>
      </c>
      <c r="AM157" s="26" t="str">
        <f aca="false">IF(AND($Y157=1,ISNUMBER($R157)),IF($R157&gt;0,$AL157/$R157-1,""),"")</f>
        <v/>
      </c>
      <c r="AN157" s="27" t="str">
        <f aca="false">IF(AND($Y157=1,ISNUMBER($R157)),IF($R157&gt;0,$R157/(1+Paramètres!$B$5)-$AK157-($R157*Paramètres!$B$6+Paramètres!$B$7)-Paramètres!$B$8-Paramètres!$B$9-Paramètres!$B$10,""),"")</f>
        <v/>
      </c>
      <c r="AO157" s="26" t="str">
        <f aca="false">IF(ISNUMBER($AN157),$AN157/($R157/(1+Paramètres!$B$5)),"")</f>
        <v/>
      </c>
      <c r="AP157" s="30" t="str">
        <f aca="false">IF($A157="","",IF($Y157&lt;&gt;1,"INCOMPLET",IF(NOT(ISNUMBER($AM157)),"SANS RÉF. MARCHÉ",IF($AM157&lt;=Paramètres!$B$12,"OK",IF(AND($AO157&gt;=Paramètres!$B$15,$AN157&gt;=Paramètres!$B$16),"À REVOIR","NON RENTABLE")))))</f>
        <v/>
      </c>
      <c r="AQ157" s="18" t="str">
        <f aca="false">TRIM(IF(AND($Y157=1,ISNUMBER($N157)),IF($M157&lt;$N157,"MOQ ",""),"")&amp;IF(AND($Y157=1,ISNUMBER($O157)),IF($O157&lt;$I157*$M157,"DISPO ",""),"")&amp;IF($S157="O","FICTIF ","")&amp;IF($Y157=1,IF(AND($K157="TTC",$W157&lt;&gt;"CH"),"TVA-ÉTRANGÈRE ",""),""))</f>
        <v/>
      </c>
      <c r="AR157" s="18" t="str">
        <f aca="false">IF($Y157=1,COUNTIFS($A$6:$A$205,$A157,$AK$6:$AK$205,"&lt;"&amp;$AK157,$Y$6:$Y$205,1)+1,"")</f>
        <v/>
      </c>
      <c r="AS157" s="18" t="str">
        <f aca="false">IF(ISNUMBER($AR157),$A157&amp;"|"&amp;$AR157,"")</f>
        <v/>
      </c>
      <c r="AT157" s="27" t="str">
        <f aca="false">IF($Y157=1,$AK157*$I157*$M157,"")</f>
        <v/>
      </c>
    </row>
    <row r="158" customFormat="false" ht="15" hidden="false" customHeight="false" outlineLevel="0" collapsed="false">
      <c r="A158" s="9"/>
      <c r="B158" s="9"/>
      <c r="C158" s="9"/>
      <c r="D158" s="9"/>
      <c r="E158" s="9"/>
      <c r="F158" s="9"/>
      <c r="G158" s="9"/>
      <c r="H158" s="9"/>
      <c r="I158" s="9"/>
      <c r="J158" s="13"/>
      <c r="K158" s="9"/>
      <c r="L158" s="12"/>
      <c r="M158" s="9"/>
      <c r="N158" s="9"/>
      <c r="O158" s="9"/>
      <c r="P158" s="9"/>
      <c r="Q158" s="16"/>
      <c r="R158" s="13"/>
      <c r="S158" s="9"/>
      <c r="T158" s="18" t="str">
        <f aca="false">IF($C158="","",IFERROR(INDEX(Fournisseurs!$C$5:$C$24,MATCH($C158,Fournisseurs!$A$5:$A$24,0)),""))</f>
        <v/>
      </c>
      <c r="U158" s="25" t="str">
        <f aca="false">IF($C158="","",IFERROR(INDEX(Fournisseurs!$D$5:$D$24,MATCH($C158,Fournisseurs!$A$5:$A$24,0)),""))</f>
        <v/>
      </c>
      <c r="V158" s="26" t="str">
        <f aca="false">IF($C158="","",IFERROR(INDEX(Fournisseurs!$G$5:$G$24,MATCH($C158,Fournisseurs!$A$5:$A$24,0)),""))</f>
        <v/>
      </c>
      <c r="W158" s="18" t="str">
        <f aca="false">IF($C158="","",IFERROR(INDEX(Fournisseurs!$H$5:$H$24,MATCH($C158,Fournisseurs!$A$5:$A$24,0)),""))</f>
        <v/>
      </c>
      <c r="X158" s="18" t="str">
        <f aca="false">IF($C158="","",IFERROR(INDEX(Fournisseurs!$B$5:$B$24,MATCH($C158,Fournisseurs!$A$5:$A$24,0)),""))</f>
        <v/>
      </c>
      <c r="Y158" s="18" t="str">
        <f aca="false">IF($A158="","",IF(AND($A158&lt;&gt;"",$C158&lt;&gt;"",ISNUMBER($I158),ISNUMBER($J158),ISNUMBER($M158)),IF(AND($I158&gt;=1,$J158&gt;0,OR($K158="HT",$K158="TTC"),$M158&gt;=1,IFERROR(INDEX(Fournisseurs!$T$5:$T$24,MATCH($C158,Fournisseurs!$A$5:$A$24,0)),0)=1),1,0),0))</f>
        <v/>
      </c>
      <c r="Z158" s="27" t="str">
        <f aca="false">IF($Y158=1,$J158*(1-N($L158)),"")</f>
        <v/>
      </c>
      <c r="AA158" s="28" t="str">
        <f aca="false">IF($Y158=1,IF($K158="TTC",$Z158/(1+$V158),$Z158),"")</f>
        <v/>
      </c>
      <c r="AB158" s="28" t="str">
        <f aca="false">IF($Y158=1,IF($K158="TTC",$Z158-$AA158,$AA158*$V158),"")</f>
        <v/>
      </c>
      <c r="AC158" s="27" t="str">
        <f aca="false">IF($Y158=1,$AA158*$U158*$M158,"")</f>
        <v/>
      </c>
      <c r="AD158" s="26" t="str">
        <f aca="false">IF($Y158=1,$AC158/SUMIFS($AC$6:$AC$205,$C$6:$C$205,$C158,$Y$6:$Y$205,1),"")</f>
        <v/>
      </c>
      <c r="AE158" s="28" t="str">
        <f aca="false">IF($Y158=1,(INDEX(Fournisseurs!$J$5:$J$24,MATCH($C158,Fournisseurs!$A$5:$A$24,0))+INDEX(Fournisseurs!$K$5:$K$24,MATCH($C158,Fournisseurs!$A$5:$A$24,0)))*$U158*$AD158/($I158*$M158),"")</f>
        <v/>
      </c>
      <c r="AF158" s="28" t="str">
        <f aca="false">IF($Y158=1,INDEX(Fournisseurs!$L$5:$L$24,MATCH($C158,Fournisseurs!$A$5:$A$24,0))*$AD158/($I158*$M158),"")</f>
        <v/>
      </c>
      <c r="AG158" s="28" t="str">
        <f aca="false">IF($Y158=1,$AA158*$U158/$I158,"")</f>
        <v/>
      </c>
      <c r="AH158" s="28" t="str">
        <f aca="false">IF($Y158=1,$AB158*$U158/$I158,"")</f>
        <v/>
      </c>
      <c r="AI158" s="18" t="str">
        <f aca="false">IF($Y158=1,IF(AND(Paramètres!$B$4="EFFECTIVE",$W158="CH",$AB158&gt;0),1,0),"")</f>
        <v/>
      </c>
      <c r="AJ158" s="28" t="str">
        <f aca="false">IF($Y158=1,IF($X158&lt;&gt;"CH",($AG158+$AE158+$AF158)*Paramètres!$B$14,0),"")</f>
        <v/>
      </c>
      <c r="AK158" s="29" t="str">
        <f aca="false">IF($Y158=1,$AG158+IF($AI158=1,0,$AH158)+$AE158+$AF158+IF(Paramètres!$B$4="NOT_REGISTERED",$AJ158,0),"")</f>
        <v/>
      </c>
      <c r="AL158" s="27" t="str">
        <f aca="false">IF($Y158=1,($AK158+Paramètres!$B$7+Paramètres!$B$8+Paramètres!$B$9+Paramètres!$B$10)/((1-Paramètres!$B$11)/(1+Paramètres!$B$5)-Paramètres!$B$6),"")</f>
        <v/>
      </c>
      <c r="AM158" s="26" t="str">
        <f aca="false">IF(AND($Y158=1,ISNUMBER($R158)),IF($R158&gt;0,$AL158/$R158-1,""),"")</f>
        <v/>
      </c>
      <c r="AN158" s="27" t="str">
        <f aca="false">IF(AND($Y158=1,ISNUMBER($R158)),IF($R158&gt;0,$R158/(1+Paramètres!$B$5)-$AK158-($R158*Paramètres!$B$6+Paramètres!$B$7)-Paramètres!$B$8-Paramètres!$B$9-Paramètres!$B$10,""),"")</f>
        <v/>
      </c>
      <c r="AO158" s="26" t="str">
        <f aca="false">IF(ISNUMBER($AN158),$AN158/($R158/(1+Paramètres!$B$5)),"")</f>
        <v/>
      </c>
      <c r="AP158" s="30" t="str">
        <f aca="false">IF($A158="","",IF($Y158&lt;&gt;1,"INCOMPLET",IF(NOT(ISNUMBER($AM158)),"SANS RÉF. MARCHÉ",IF($AM158&lt;=Paramètres!$B$12,"OK",IF(AND($AO158&gt;=Paramètres!$B$15,$AN158&gt;=Paramètres!$B$16),"À REVOIR","NON RENTABLE")))))</f>
        <v/>
      </c>
      <c r="AQ158" s="18" t="str">
        <f aca="false">TRIM(IF(AND($Y158=1,ISNUMBER($N158)),IF($M158&lt;$N158,"MOQ ",""),"")&amp;IF(AND($Y158=1,ISNUMBER($O158)),IF($O158&lt;$I158*$M158,"DISPO ",""),"")&amp;IF($S158="O","FICTIF ","")&amp;IF($Y158=1,IF(AND($K158="TTC",$W158&lt;&gt;"CH"),"TVA-ÉTRANGÈRE ",""),""))</f>
        <v/>
      </c>
      <c r="AR158" s="18" t="str">
        <f aca="false">IF($Y158=1,COUNTIFS($A$6:$A$205,$A158,$AK$6:$AK$205,"&lt;"&amp;$AK158,$Y$6:$Y$205,1)+1,"")</f>
        <v/>
      </c>
      <c r="AS158" s="18" t="str">
        <f aca="false">IF(ISNUMBER($AR158),$A158&amp;"|"&amp;$AR158,"")</f>
        <v/>
      </c>
      <c r="AT158" s="27" t="str">
        <f aca="false">IF($Y158=1,$AK158*$I158*$M158,"")</f>
        <v/>
      </c>
    </row>
    <row r="159" customFormat="false" ht="15" hidden="false" customHeight="false" outlineLevel="0" collapsed="false">
      <c r="A159" s="9"/>
      <c r="B159" s="9"/>
      <c r="C159" s="9"/>
      <c r="D159" s="9"/>
      <c r="E159" s="9"/>
      <c r="F159" s="9"/>
      <c r="G159" s="9"/>
      <c r="H159" s="9"/>
      <c r="I159" s="9"/>
      <c r="J159" s="13"/>
      <c r="K159" s="9"/>
      <c r="L159" s="12"/>
      <c r="M159" s="9"/>
      <c r="N159" s="9"/>
      <c r="O159" s="9"/>
      <c r="P159" s="9"/>
      <c r="Q159" s="16"/>
      <c r="R159" s="13"/>
      <c r="S159" s="9"/>
      <c r="T159" s="18" t="str">
        <f aca="false">IF($C159="","",IFERROR(INDEX(Fournisseurs!$C$5:$C$24,MATCH($C159,Fournisseurs!$A$5:$A$24,0)),""))</f>
        <v/>
      </c>
      <c r="U159" s="25" t="str">
        <f aca="false">IF($C159="","",IFERROR(INDEX(Fournisseurs!$D$5:$D$24,MATCH($C159,Fournisseurs!$A$5:$A$24,0)),""))</f>
        <v/>
      </c>
      <c r="V159" s="26" t="str">
        <f aca="false">IF($C159="","",IFERROR(INDEX(Fournisseurs!$G$5:$G$24,MATCH($C159,Fournisseurs!$A$5:$A$24,0)),""))</f>
        <v/>
      </c>
      <c r="W159" s="18" t="str">
        <f aca="false">IF($C159="","",IFERROR(INDEX(Fournisseurs!$H$5:$H$24,MATCH($C159,Fournisseurs!$A$5:$A$24,0)),""))</f>
        <v/>
      </c>
      <c r="X159" s="18" t="str">
        <f aca="false">IF($C159="","",IFERROR(INDEX(Fournisseurs!$B$5:$B$24,MATCH($C159,Fournisseurs!$A$5:$A$24,0)),""))</f>
        <v/>
      </c>
      <c r="Y159" s="18" t="str">
        <f aca="false">IF($A159="","",IF(AND($A159&lt;&gt;"",$C159&lt;&gt;"",ISNUMBER($I159),ISNUMBER($J159),ISNUMBER($M159)),IF(AND($I159&gt;=1,$J159&gt;0,OR($K159="HT",$K159="TTC"),$M159&gt;=1,IFERROR(INDEX(Fournisseurs!$T$5:$T$24,MATCH($C159,Fournisseurs!$A$5:$A$24,0)),0)=1),1,0),0))</f>
        <v/>
      </c>
      <c r="Z159" s="27" t="str">
        <f aca="false">IF($Y159=1,$J159*(1-N($L159)),"")</f>
        <v/>
      </c>
      <c r="AA159" s="28" t="str">
        <f aca="false">IF($Y159=1,IF($K159="TTC",$Z159/(1+$V159),$Z159),"")</f>
        <v/>
      </c>
      <c r="AB159" s="28" t="str">
        <f aca="false">IF($Y159=1,IF($K159="TTC",$Z159-$AA159,$AA159*$V159),"")</f>
        <v/>
      </c>
      <c r="AC159" s="27" t="str">
        <f aca="false">IF($Y159=1,$AA159*$U159*$M159,"")</f>
        <v/>
      </c>
      <c r="AD159" s="26" t="str">
        <f aca="false">IF($Y159=1,$AC159/SUMIFS($AC$6:$AC$205,$C$6:$C$205,$C159,$Y$6:$Y$205,1),"")</f>
        <v/>
      </c>
      <c r="AE159" s="28" t="str">
        <f aca="false">IF($Y159=1,(INDEX(Fournisseurs!$J$5:$J$24,MATCH($C159,Fournisseurs!$A$5:$A$24,0))+INDEX(Fournisseurs!$K$5:$K$24,MATCH($C159,Fournisseurs!$A$5:$A$24,0)))*$U159*$AD159/($I159*$M159),"")</f>
        <v/>
      </c>
      <c r="AF159" s="28" t="str">
        <f aca="false">IF($Y159=1,INDEX(Fournisseurs!$L$5:$L$24,MATCH($C159,Fournisseurs!$A$5:$A$24,0))*$AD159/($I159*$M159),"")</f>
        <v/>
      </c>
      <c r="AG159" s="28" t="str">
        <f aca="false">IF($Y159=1,$AA159*$U159/$I159,"")</f>
        <v/>
      </c>
      <c r="AH159" s="28" t="str">
        <f aca="false">IF($Y159=1,$AB159*$U159/$I159,"")</f>
        <v/>
      </c>
      <c r="AI159" s="18" t="str">
        <f aca="false">IF($Y159=1,IF(AND(Paramètres!$B$4="EFFECTIVE",$W159="CH",$AB159&gt;0),1,0),"")</f>
        <v/>
      </c>
      <c r="AJ159" s="28" t="str">
        <f aca="false">IF($Y159=1,IF($X159&lt;&gt;"CH",($AG159+$AE159+$AF159)*Paramètres!$B$14,0),"")</f>
        <v/>
      </c>
      <c r="AK159" s="29" t="str">
        <f aca="false">IF($Y159=1,$AG159+IF($AI159=1,0,$AH159)+$AE159+$AF159+IF(Paramètres!$B$4="NOT_REGISTERED",$AJ159,0),"")</f>
        <v/>
      </c>
      <c r="AL159" s="27" t="str">
        <f aca="false">IF($Y159=1,($AK159+Paramètres!$B$7+Paramètres!$B$8+Paramètres!$B$9+Paramètres!$B$10)/((1-Paramètres!$B$11)/(1+Paramètres!$B$5)-Paramètres!$B$6),"")</f>
        <v/>
      </c>
      <c r="AM159" s="26" t="str">
        <f aca="false">IF(AND($Y159=1,ISNUMBER($R159)),IF($R159&gt;0,$AL159/$R159-1,""),"")</f>
        <v/>
      </c>
      <c r="AN159" s="27" t="str">
        <f aca="false">IF(AND($Y159=1,ISNUMBER($R159)),IF($R159&gt;0,$R159/(1+Paramètres!$B$5)-$AK159-($R159*Paramètres!$B$6+Paramètres!$B$7)-Paramètres!$B$8-Paramètres!$B$9-Paramètres!$B$10,""),"")</f>
        <v/>
      </c>
      <c r="AO159" s="26" t="str">
        <f aca="false">IF(ISNUMBER($AN159),$AN159/($R159/(1+Paramètres!$B$5)),"")</f>
        <v/>
      </c>
      <c r="AP159" s="30" t="str">
        <f aca="false">IF($A159="","",IF($Y159&lt;&gt;1,"INCOMPLET",IF(NOT(ISNUMBER($AM159)),"SANS RÉF. MARCHÉ",IF($AM159&lt;=Paramètres!$B$12,"OK",IF(AND($AO159&gt;=Paramètres!$B$15,$AN159&gt;=Paramètres!$B$16),"À REVOIR","NON RENTABLE")))))</f>
        <v/>
      </c>
      <c r="AQ159" s="18" t="str">
        <f aca="false">TRIM(IF(AND($Y159=1,ISNUMBER($N159)),IF($M159&lt;$N159,"MOQ ",""),"")&amp;IF(AND($Y159=1,ISNUMBER($O159)),IF($O159&lt;$I159*$M159,"DISPO ",""),"")&amp;IF($S159="O","FICTIF ","")&amp;IF($Y159=1,IF(AND($K159="TTC",$W159&lt;&gt;"CH"),"TVA-ÉTRANGÈRE ",""),""))</f>
        <v/>
      </c>
      <c r="AR159" s="18" t="str">
        <f aca="false">IF($Y159=1,COUNTIFS($A$6:$A$205,$A159,$AK$6:$AK$205,"&lt;"&amp;$AK159,$Y$6:$Y$205,1)+1,"")</f>
        <v/>
      </c>
      <c r="AS159" s="18" t="str">
        <f aca="false">IF(ISNUMBER($AR159),$A159&amp;"|"&amp;$AR159,"")</f>
        <v/>
      </c>
      <c r="AT159" s="27" t="str">
        <f aca="false">IF($Y159=1,$AK159*$I159*$M159,"")</f>
        <v/>
      </c>
    </row>
    <row r="160" customFormat="false" ht="15" hidden="false" customHeight="false" outlineLevel="0" collapsed="false">
      <c r="A160" s="9"/>
      <c r="B160" s="9"/>
      <c r="C160" s="9"/>
      <c r="D160" s="9"/>
      <c r="E160" s="9"/>
      <c r="F160" s="9"/>
      <c r="G160" s="9"/>
      <c r="H160" s="9"/>
      <c r="I160" s="9"/>
      <c r="J160" s="13"/>
      <c r="K160" s="9"/>
      <c r="L160" s="12"/>
      <c r="M160" s="9"/>
      <c r="N160" s="9"/>
      <c r="O160" s="9"/>
      <c r="P160" s="9"/>
      <c r="Q160" s="16"/>
      <c r="R160" s="13"/>
      <c r="S160" s="9"/>
      <c r="T160" s="18" t="str">
        <f aca="false">IF($C160="","",IFERROR(INDEX(Fournisseurs!$C$5:$C$24,MATCH($C160,Fournisseurs!$A$5:$A$24,0)),""))</f>
        <v/>
      </c>
      <c r="U160" s="25" t="str">
        <f aca="false">IF($C160="","",IFERROR(INDEX(Fournisseurs!$D$5:$D$24,MATCH($C160,Fournisseurs!$A$5:$A$24,0)),""))</f>
        <v/>
      </c>
      <c r="V160" s="26" t="str">
        <f aca="false">IF($C160="","",IFERROR(INDEX(Fournisseurs!$G$5:$G$24,MATCH($C160,Fournisseurs!$A$5:$A$24,0)),""))</f>
        <v/>
      </c>
      <c r="W160" s="18" t="str">
        <f aca="false">IF($C160="","",IFERROR(INDEX(Fournisseurs!$H$5:$H$24,MATCH($C160,Fournisseurs!$A$5:$A$24,0)),""))</f>
        <v/>
      </c>
      <c r="X160" s="18" t="str">
        <f aca="false">IF($C160="","",IFERROR(INDEX(Fournisseurs!$B$5:$B$24,MATCH($C160,Fournisseurs!$A$5:$A$24,0)),""))</f>
        <v/>
      </c>
      <c r="Y160" s="18" t="str">
        <f aca="false">IF($A160="","",IF(AND($A160&lt;&gt;"",$C160&lt;&gt;"",ISNUMBER($I160),ISNUMBER($J160),ISNUMBER($M160)),IF(AND($I160&gt;=1,$J160&gt;0,OR($K160="HT",$K160="TTC"),$M160&gt;=1,IFERROR(INDEX(Fournisseurs!$T$5:$T$24,MATCH($C160,Fournisseurs!$A$5:$A$24,0)),0)=1),1,0),0))</f>
        <v/>
      </c>
      <c r="Z160" s="27" t="str">
        <f aca="false">IF($Y160=1,$J160*(1-N($L160)),"")</f>
        <v/>
      </c>
      <c r="AA160" s="28" t="str">
        <f aca="false">IF($Y160=1,IF($K160="TTC",$Z160/(1+$V160),$Z160),"")</f>
        <v/>
      </c>
      <c r="AB160" s="28" t="str">
        <f aca="false">IF($Y160=1,IF($K160="TTC",$Z160-$AA160,$AA160*$V160),"")</f>
        <v/>
      </c>
      <c r="AC160" s="27" t="str">
        <f aca="false">IF($Y160=1,$AA160*$U160*$M160,"")</f>
        <v/>
      </c>
      <c r="AD160" s="26" t="str">
        <f aca="false">IF($Y160=1,$AC160/SUMIFS($AC$6:$AC$205,$C$6:$C$205,$C160,$Y$6:$Y$205,1),"")</f>
        <v/>
      </c>
      <c r="AE160" s="28" t="str">
        <f aca="false">IF($Y160=1,(INDEX(Fournisseurs!$J$5:$J$24,MATCH($C160,Fournisseurs!$A$5:$A$24,0))+INDEX(Fournisseurs!$K$5:$K$24,MATCH($C160,Fournisseurs!$A$5:$A$24,0)))*$U160*$AD160/($I160*$M160),"")</f>
        <v/>
      </c>
      <c r="AF160" s="28" t="str">
        <f aca="false">IF($Y160=1,INDEX(Fournisseurs!$L$5:$L$24,MATCH($C160,Fournisseurs!$A$5:$A$24,0))*$AD160/($I160*$M160),"")</f>
        <v/>
      </c>
      <c r="AG160" s="28" t="str">
        <f aca="false">IF($Y160=1,$AA160*$U160/$I160,"")</f>
        <v/>
      </c>
      <c r="AH160" s="28" t="str">
        <f aca="false">IF($Y160=1,$AB160*$U160/$I160,"")</f>
        <v/>
      </c>
      <c r="AI160" s="18" t="str">
        <f aca="false">IF($Y160=1,IF(AND(Paramètres!$B$4="EFFECTIVE",$W160="CH",$AB160&gt;0),1,0),"")</f>
        <v/>
      </c>
      <c r="AJ160" s="28" t="str">
        <f aca="false">IF($Y160=1,IF($X160&lt;&gt;"CH",($AG160+$AE160+$AF160)*Paramètres!$B$14,0),"")</f>
        <v/>
      </c>
      <c r="AK160" s="29" t="str">
        <f aca="false">IF($Y160=1,$AG160+IF($AI160=1,0,$AH160)+$AE160+$AF160+IF(Paramètres!$B$4="NOT_REGISTERED",$AJ160,0),"")</f>
        <v/>
      </c>
      <c r="AL160" s="27" t="str">
        <f aca="false">IF($Y160=1,($AK160+Paramètres!$B$7+Paramètres!$B$8+Paramètres!$B$9+Paramètres!$B$10)/((1-Paramètres!$B$11)/(1+Paramètres!$B$5)-Paramètres!$B$6),"")</f>
        <v/>
      </c>
      <c r="AM160" s="26" t="str">
        <f aca="false">IF(AND($Y160=1,ISNUMBER($R160)),IF($R160&gt;0,$AL160/$R160-1,""),"")</f>
        <v/>
      </c>
      <c r="AN160" s="27" t="str">
        <f aca="false">IF(AND($Y160=1,ISNUMBER($R160)),IF($R160&gt;0,$R160/(1+Paramètres!$B$5)-$AK160-($R160*Paramètres!$B$6+Paramètres!$B$7)-Paramètres!$B$8-Paramètres!$B$9-Paramètres!$B$10,""),"")</f>
        <v/>
      </c>
      <c r="AO160" s="26" t="str">
        <f aca="false">IF(ISNUMBER($AN160),$AN160/($R160/(1+Paramètres!$B$5)),"")</f>
        <v/>
      </c>
      <c r="AP160" s="30" t="str">
        <f aca="false">IF($A160="","",IF($Y160&lt;&gt;1,"INCOMPLET",IF(NOT(ISNUMBER($AM160)),"SANS RÉF. MARCHÉ",IF($AM160&lt;=Paramètres!$B$12,"OK",IF(AND($AO160&gt;=Paramètres!$B$15,$AN160&gt;=Paramètres!$B$16),"À REVOIR","NON RENTABLE")))))</f>
        <v/>
      </c>
      <c r="AQ160" s="18" t="str">
        <f aca="false">TRIM(IF(AND($Y160=1,ISNUMBER($N160)),IF($M160&lt;$N160,"MOQ ",""),"")&amp;IF(AND($Y160=1,ISNUMBER($O160)),IF($O160&lt;$I160*$M160,"DISPO ",""),"")&amp;IF($S160="O","FICTIF ","")&amp;IF($Y160=1,IF(AND($K160="TTC",$W160&lt;&gt;"CH"),"TVA-ÉTRANGÈRE ",""),""))</f>
        <v/>
      </c>
      <c r="AR160" s="18" t="str">
        <f aca="false">IF($Y160=1,COUNTIFS($A$6:$A$205,$A160,$AK$6:$AK$205,"&lt;"&amp;$AK160,$Y$6:$Y$205,1)+1,"")</f>
        <v/>
      </c>
      <c r="AS160" s="18" t="str">
        <f aca="false">IF(ISNUMBER($AR160),$A160&amp;"|"&amp;$AR160,"")</f>
        <v/>
      </c>
      <c r="AT160" s="27" t="str">
        <f aca="false">IF($Y160=1,$AK160*$I160*$M160,"")</f>
        <v/>
      </c>
    </row>
    <row r="161" customFormat="false" ht="15" hidden="false" customHeight="false" outlineLevel="0" collapsed="false">
      <c r="A161" s="9"/>
      <c r="B161" s="9"/>
      <c r="C161" s="9"/>
      <c r="D161" s="9"/>
      <c r="E161" s="9"/>
      <c r="F161" s="9"/>
      <c r="G161" s="9"/>
      <c r="H161" s="9"/>
      <c r="I161" s="9"/>
      <c r="J161" s="13"/>
      <c r="K161" s="9"/>
      <c r="L161" s="12"/>
      <c r="M161" s="9"/>
      <c r="N161" s="9"/>
      <c r="O161" s="9"/>
      <c r="P161" s="9"/>
      <c r="Q161" s="16"/>
      <c r="R161" s="13"/>
      <c r="S161" s="9"/>
      <c r="T161" s="18" t="str">
        <f aca="false">IF($C161="","",IFERROR(INDEX(Fournisseurs!$C$5:$C$24,MATCH($C161,Fournisseurs!$A$5:$A$24,0)),""))</f>
        <v/>
      </c>
      <c r="U161" s="25" t="str">
        <f aca="false">IF($C161="","",IFERROR(INDEX(Fournisseurs!$D$5:$D$24,MATCH($C161,Fournisseurs!$A$5:$A$24,0)),""))</f>
        <v/>
      </c>
      <c r="V161" s="26" t="str">
        <f aca="false">IF($C161="","",IFERROR(INDEX(Fournisseurs!$G$5:$G$24,MATCH($C161,Fournisseurs!$A$5:$A$24,0)),""))</f>
        <v/>
      </c>
      <c r="W161" s="18" t="str">
        <f aca="false">IF($C161="","",IFERROR(INDEX(Fournisseurs!$H$5:$H$24,MATCH($C161,Fournisseurs!$A$5:$A$24,0)),""))</f>
        <v/>
      </c>
      <c r="X161" s="18" t="str">
        <f aca="false">IF($C161="","",IFERROR(INDEX(Fournisseurs!$B$5:$B$24,MATCH($C161,Fournisseurs!$A$5:$A$24,0)),""))</f>
        <v/>
      </c>
      <c r="Y161" s="18" t="str">
        <f aca="false">IF($A161="","",IF(AND($A161&lt;&gt;"",$C161&lt;&gt;"",ISNUMBER($I161),ISNUMBER($J161),ISNUMBER($M161)),IF(AND($I161&gt;=1,$J161&gt;0,OR($K161="HT",$K161="TTC"),$M161&gt;=1,IFERROR(INDEX(Fournisseurs!$T$5:$T$24,MATCH($C161,Fournisseurs!$A$5:$A$24,0)),0)=1),1,0),0))</f>
        <v/>
      </c>
      <c r="Z161" s="27" t="str">
        <f aca="false">IF($Y161=1,$J161*(1-N($L161)),"")</f>
        <v/>
      </c>
      <c r="AA161" s="28" t="str">
        <f aca="false">IF($Y161=1,IF($K161="TTC",$Z161/(1+$V161),$Z161),"")</f>
        <v/>
      </c>
      <c r="AB161" s="28" t="str">
        <f aca="false">IF($Y161=1,IF($K161="TTC",$Z161-$AA161,$AA161*$V161),"")</f>
        <v/>
      </c>
      <c r="AC161" s="27" t="str">
        <f aca="false">IF($Y161=1,$AA161*$U161*$M161,"")</f>
        <v/>
      </c>
      <c r="AD161" s="26" t="str">
        <f aca="false">IF($Y161=1,$AC161/SUMIFS($AC$6:$AC$205,$C$6:$C$205,$C161,$Y$6:$Y$205,1),"")</f>
        <v/>
      </c>
      <c r="AE161" s="28" t="str">
        <f aca="false">IF($Y161=1,(INDEX(Fournisseurs!$J$5:$J$24,MATCH($C161,Fournisseurs!$A$5:$A$24,0))+INDEX(Fournisseurs!$K$5:$K$24,MATCH($C161,Fournisseurs!$A$5:$A$24,0)))*$U161*$AD161/($I161*$M161),"")</f>
        <v/>
      </c>
      <c r="AF161" s="28" t="str">
        <f aca="false">IF($Y161=1,INDEX(Fournisseurs!$L$5:$L$24,MATCH($C161,Fournisseurs!$A$5:$A$24,0))*$AD161/($I161*$M161),"")</f>
        <v/>
      </c>
      <c r="AG161" s="28" t="str">
        <f aca="false">IF($Y161=1,$AA161*$U161/$I161,"")</f>
        <v/>
      </c>
      <c r="AH161" s="28" t="str">
        <f aca="false">IF($Y161=1,$AB161*$U161/$I161,"")</f>
        <v/>
      </c>
      <c r="AI161" s="18" t="str">
        <f aca="false">IF($Y161=1,IF(AND(Paramètres!$B$4="EFFECTIVE",$W161="CH",$AB161&gt;0),1,0),"")</f>
        <v/>
      </c>
      <c r="AJ161" s="28" t="str">
        <f aca="false">IF($Y161=1,IF($X161&lt;&gt;"CH",($AG161+$AE161+$AF161)*Paramètres!$B$14,0),"")</f>
        <v/>
      </c>
      <c r="AK161" s="29" t="str">
        <f aca="false">IF($Y161=1,$AG161+IF($AI161=1,0,$AH161)+$AE161+$AF161+IF(Paramètres!$B$4="NOT_REGISTERED",$AJ161,0),"")</f>
        <v/>
      </c>
      <c r="AL161" s="27" t="str">
        <f aca="false">IF($Y161=1,($AK161+Paramètres!$B$7+Paramètres!$B$8+Paramètres!$B$9+Paramètres!$B$10)/((1-Paramètres!$B$11)/(1+Paramètres!$B$5)-Paramètres!$B$6),"")</f>
        <v/>
      </c>
      <c r="AM161" s="26" t="str">
        <f aca="false">IF(AND($Y161=1,ISNUMBER($R161)),IF($R161&gt;0,$AL161/$R161-1,""),"")</f>
        <v/>
      </c>
      <c r="AN161" s="27" t="str">
        <f aca="false">IF(AND($Y161=1,ISNUMBER($R161)),IF($R161&gt;0,$R161/(1+Paramètres!$B$5)-$AK161-($R161*Paramètres!$B$6+Paramètres!$B$7)-Paramètres!$B$8-Paramètres!$B$9-Paramètres!$B$10,""),"")</f>
        <v/>
      </c>
      <c r="AO161" s="26" t="str">
        <f aca="false">IF(ISNUMBER($AN161),$AN161/($R161/(1+Paramètres!$B$5)),"")</f>
        <v/>
      </c>
      <c r="AP161" s="30" t="str">
        <f aca="false">IF($A161="","",IF($Y161&lt;&gt;1,"INCOMPLET",IF(NOT(ISNUMBER($AM161)),"SANS RÉF. MARCHÉ",IF($AM161&lt;=Paramètres!$B$12,"OK",IF(AND($AO161&gt;=Paramètres!$B$15,$AN161&gt;=Paramètres!$B$16),"À REVOIR","NON RENTABLE")))))</f>
        <v/>
      </c>
      <c r="AQ161" s="18" t="str">
        <f aca="false">TRIM(IF(AND($Y161=1,ISNUMBER($N161)),IF($M161&lt;$N161,"MOQ ",""),"")&amp;IF(AND($Y161=1,ISNUMBER($O161)),IF($O161&lt;$I161*$M161,"DISPO ",""),"")&amp;IF($S161="O","FICTIF ","")&amp;IF($Y161=1,IF(AND($K161="TTC",$W161&lt;&gt;"CH"),"TVA-ÉTRANGÈRE ",""),""))</f>
        <v/>
      </c>
      <c r="AR161" s="18" t="str">
        <f aca="false">IF($Y161=1,COUNTIFS($A$6:$A$205,$A161,$AK$6:$AK$205,"&lt;"&amp;$AK161,$Y$6:$Y$205,1)+1,"")</f>
        <v/>
      </c>
      <c r="AS161" s="18" t="str">
        <f aca="false">IF(ISNUMBER($AR161),$A161&amp;"|"&amp;$AR161,"")</f>
        <v/>
      </c>
      <c r="AT161" s="27" t="str">
        <f aca="false">IF($Y161=1,$AK161*$I161*$M161,"")</f>
        <v/>
      </c>
    </row>
    <row r="162" customFormat="false" ht="15" hidden="false" customHeight="false" outlineLevel="0" collapsed="false">
      <c r="A162" s="9"/>
      <c r="B162" s="9"/>
      <c r="C162" s="9"/>
      <c r="D162" s="9"/>
      <c r="E162" s="9"/>
      <c r="F162" s="9"/>
      <c r="G162" s="9"/>
      <c r="H162" s="9"/>
      <c r="I162" s="9"/>
      <c r="J162" s="13"/>
      <c r="K162" s="9"/>
      <c r="L162" s="12"/>
      <c r="M162" s="9"/>
      <c r="N162" s="9"/>
      <c r="O162" s="9"/>
      <c r="P162" s="9"/>
      <c r="Q162" s="16"/>
      <c r="R162" s="13"/>
      <c r="S162" s="9"/>
      <c r="T162" s="18" t="str">
        <f aca="false">IF($C162="","",IFERROR(INDEX(Fournisseurs!$C$5:$C$24,MATCH($C162,Fournisseurs!$A$5:$A$24,0)),""))</f>
        <v/>
      </c>
      <c r="U162" s="25" t="str">
        <f aca="false">IF($C162="","",IFERROR(INDEX(Fournisseurs!$D$5:$D$24,MATCH($C162,Fournisseurs!$A$5:$A$24,0)),""))</f>
        <v/>
      </c>
      <c r="V162" s="26" t="str">
        <f aca="false">IF($C162="","",IFERROR(INDEX(Fournisseurs!$G$5:$G$24,MATCH($C162,Fournisseurs!$A$5:$A$24,0)),""))</f>
        <v/>
      </c>
      <c r="W162" s="18" t="str">
        <f aca="false">IF($C162="","",IFERROR(INDEX(Fournisseurs!$H$5:$H$24,MATCH($C162,Fournisseurs!$A$5:$A$24,0)),""))</f>
        <v/>
      </c>
      <c r="X162" s="18" t="str">
        <f aca="false">IF($C162="","",IFERROR(INDEX(Fournisseurs!$B$5:$B$24,MATCH($C162,Fournisseurs!$A$5:$A$24,0)),""))</f>
        <v/>
      </c>
      <c r="Y162" s="18" t="str">
        <f aca="false">IF($A162="","",IF(AND($A162&lt;&gt;"",$C162&lt;&gt;"",ISNUMBER($I162),ISNUMBER($J162),ISNUMBER($M162)),IF(AND($I162&gt;=1,$J162&gt;0,OR($K162="HT",$K162="TTC"),$M162&gt;=1,IFERROR(INDEX(Fournisseurs!$T$5:$T$24,MATCH($C162,Fournisseurs!$A$5:$A$24,0)),0)=1),1,0),0))</f>
        <v/>
      </c>
      <c r="Z162" s="27" t="str">
        <f aca="false">IF($Y162=1,$J162*(1-N($L162)),"")</f>
        <v/>
      </c>
      <c r="AA162" s="28" t="str">
        <f aca="false">IF($Y162=1,IF($K162="TTC",$Z162/(1+$V162),$Z162),"")</f>
        <v/>
      </c>
      <c r="AB162" s="28" t="str">
        <f aca="false">IF($Y162=1,IF($K162="TTC",$Z162-$AA162,$AA162*$V162),"")</f>
        <v/>
      </c>
      <c r="AC162" s="27" t="str">
        <f aca="false">IF($Y162=1,$AA162*$U162*$M162,"")</f>
        <v/>
      </c>
      <c r="AD162" s="26" t="str">
        <f aca="false">IF($Y162=1,$AC162/SUMIFS($AC$6:$AC$205,$C$6:$C$205,$C162,$Y$6:$Y$205,1),"")</f>
        <v/>
      </c>
      <c r="AE162" s="28" t="str">
        <f aca="false">IF($Y162=1,(INDEX(Fournisseurs!$J$5:$J$24,MATCH($C162,Fournisseurs!$A$5:$A$24,0))+INDEX(Fournisseurs!$K$5:$K$24,MATCH($C162,Fournisseurs!$A$5:$A$24,0)))*$U162*$AD162/($I162*$M162),"")</f>
        <v/>
      </c>
      <c r="AF162" s="28" t="str">
        <f aca="false">IF($Y162=1,INDEX(Fournisseurs!$L$5:$L$24,MATCH($C162,Fournisseurs!$A$5:$A$24,0))*$AD162/($I162*$M162),"")</f>
        <v/>
      </c>
      <c r="AG162" s="28" t="str">
        <f aca="false">IF($Y162=1,$AA162*$U162/$I162,"")</f>
        <v/>
      </c>
      <c r="AH162" s="28" t="str">
        <f aca="false">IF($Y162=1,$AB162*$U162/$I162,"")</f>
        <v/>
      </c>
      <c r="AI162" s="18" t="str">
        <f aca="false">IF($Y162=1,IF(AND(Paramètres!$B$4="EFFECTIVE",$W162="CH",$AB162&gt;0),1,0),"")</f>
        <v/>
      </c>
      <c r="AJ162" s="28" t="str">
        <f aca="false">IF($Y162=1,IF($X162&lt;&gt;"CH",($AG162+$AE162+$AF162)*Paramètres!$B$14,0),"")</f>
        <v/>
      </c>
      <c r="AK162" s="29" t="str">
        <f aca="false">IF($Y162=1,$AG162+IF($AI162=1,0,$AH162)+$AE162+$AF162+IF(Paramètres!$B$4="NOT_REGISTERED",$AJ162,0),"")</f>
        <v/>
      </c>
      <c r="AL162" s="27" t="str">
        <f aca="false">IF($Y162=1,($AK162+Paramètres!$B$7+Paramètres!$B$8+Paramètres!$B$9+Paramètres!$B$10)/((1-Paramètres!$B$11)/(1+Paramètres!$B$5)-Paramètres!$B$6),"")</f>
        <v/>
      </c>
      <c r="AM162" s="26" t="str">
        <f aca="false">IF(AND($Y162=1,ISNUMBER($R162)),IF($R162&gt;0,$AL162/$R162-1,""),"")</f>
        <v/>
      </c>
      <c r="AN162" s="27" t="str">
        <f aca="false">IF(AND($Y162=1,ISNUMBER($R162)),IF($R162&gt;0,$R162/(1+Paramètres!$B$5)-$AK162-($R162*Paramètres!$B$6+Paramètres!$B$7)-Paramètres!$B$8-Paramètres!$B$9-Paramètres!$B$10,""),"")</f>
        <v/>
      </c>
      <c r="AO162" s="26" t="str">
        <f aca="false">IF(ISNUMBER($AN162),$AN162/($R162/(1+Paramètres!$B$5)),"")</f>
        <v/>
      </c>
      <c r="AP162" s="30" t="str">
        <f aca="false">IF($A162="","",IF($Y162&lt;&gt;1,"INCOMPLET",IF(NOT(ISNUMBER($AM162)),"SANS RÉF. MARCHÉ",IF($AM162&lt;=Paramètres!$B$12,"OK",IF(AND($AO162&gt;=Paramètres!$B$15,$AN162&gt;=Paramètres!$B$16),"À REVOIR","NON RENTABLE")))))</f>
        <v/>
      </c>
      <c r="AQ162" s="18" t="str">
        <f aca="false">TRIM(IF(AND($Y162=1,ISNUMBER($N162)),IF($M162&lt;$N162,"MOQ ",""),"")&amp;IF(AND($Y162=1,ISNUMBER($O162)),IF($O162&lt;$I162*$M162,"DISPO ",""),"")&amp;IF($S162="O","FICTIF ","")&amp;IF($Y162=1,IF(AND($K162="TTC",$W162&lt;&gt;"CH"),"TVA-ÉTRANGÈRE ",""),""))</f>
        <v/>
      </c>
      <c r="AR162" s="18" t="str">
        <f aca="false">IF($Y162=1,COUNTIFS($A$6:$A$205,$A162,$AK$6:$AK$205,"&lt;"&amp;$AK162,$Y$6:$Y$205,1)+1,"")</f>
        <v/>
      </c>
      <c r="AS162" s="18" t="str">
        <f aca="false">IF(ISNUMBER($AR162),$A162&amp;"|"&amp;$AR162,"")</f>
        <v/>
      </c>
      <c r="AT162" s="27" t="str">
        <f aca="false">IF($Y162=1,$AK162*$I162*$M162,"")</f>
        <v/>
      </c>
    </row>
    <row r="163" customFormat="false" ht="15" hidden="false" customHeight="false" outlineLevel="0" collapsed="false">
      <c r="A163" s="9"/>
      <c r="B163" s="9"/>
      <c r="C163" s="9"/>
      <c r="D163" s="9"/>
      <c r="E163" s="9"/>
      <c r="F163" s="9"/>
      <c r="G163" s="9"/>
      <c r="H163" s="9"/>
      <c r="I163" s="9"/>
      <c r="J163" s="13"/>
      <c r="K163" s="9"/>
      <c r="L163" s="12"/>
      <c r="M163" s="9"/>
      <c r="N163" s="9"/>
      <c r="O163" s="9"/>
      <c r="P163" s="9"/>
      <c r="Q163" s="16"/>
      <c r="R163" s="13"/>
      <c r="S163" s="9"/>
      <c r="T163" s="18" t="str">
        <f aca="false">IF($C163="","",IFERROR(INDEX(Fournisseurs!$C$5:$C$24,MATCH($C163,Fournisseurs!$A$5:$A$24,0)),""))</f>
        <v/>
      </c>
      <c r="U163" s="25" t="str">
        <f aca="false">IF($C163="","",IFERROR(INDEX(Fournisseurs!$D$5:$D$24,MATCH($C163,Fournisseurs!$A$5:$A$24,0)),""))</f>
        <v/>
      </c>
      <c r="V163" s="26" t="str">
        <f aca="false">IF($C163="","",IFERROR(INDEX(Fournisseurs!$G$5:$G$24,MATCH($C163,Fournisseurs!$A$5:$A$24,0)),""))</f>
        <v/>
      </c>
      <c r="W163" s="18" t="str">
        <f aca="false">IF($C163="","",IFERROR(INDEX(Fournisseurs!$H$5:$H$24,MATCH($C163,Fournisseurs!$A$5:$A$24,0)),""))</f>
        <v/>
      </c>
      <c r="X163" s="18" t="str">
        <f aca="false">IF($C163="","",IFERROR(INDEX(Fournisseurs!$B$5:$B$24,MATCH($C163,Fournisseurs!$A$5:$A$24,0)),""))</f>
        <v/>
      </c>
      <c r="Y163" s="18" t="str">
        <f aca="false">IF($A163="","",IF(AND($A163&lt;&gt;"",$C163&lt;&gt;"",ISNUMBER($I163),ISNUMBER($J163),ISNUMBER($M163)),IF(AND($I163&gt;=1,$J163&gt;0,OR($K163="HT",$K163="TTC"),$M163&gt;=1,IFERROR(INDEX(Fournisseurs!$T$5:$T$24,MATCH($C163,Fournisseurs!$A$5:$A$24,0)),0)=1),1,0),0))</f>
        <v/>
      </c>
      <c r="Z163" s="27" t="str">
        <f aca="false">IF($Y163=1,$J163*(1-N($L163)),"")</f>
        <v/>
      </c>
      <c r="AA163" s="28" t="str">
        <f aca="false">IF($Y163=1,IF($K163="TTC",$Z163/(1+$V163),$Z163),"")</f>
        <v/>
      </c>
      <c r="AB163" s="28" t="str">
        <f aca="false">IF($Y163=1,IF($K163="TTC",$Z163-$AA163,$AA163*$V163),"")</f>
        <v/>
      </c>
      <c r="AC163" s="27" t="str">
        <f aca="false">IF($Y163=1,$AA163*$U163*$M163,"")</f>
        <v/>
      </c>
      <c r="AD163" s="26" t="str">
        <f aca="false">IF($Y163=1,$AC163/SUMIFS($AC$6:$AC$205,$C$6:$C$205,$C163,$Y$6:$Y$205,1),"")</f>
        <v/>
      </c>
      <c r="AE163" s="28" t="str">
        <f aca="false">IF($Y163=1,(INDEX(Fournisseurs!$J$5:$J$24,MATCH($C163,Fournisseurs!$A$5:$A$24,0))+INDEX(Fournisseurs!$K$5:$K$24,MATCH($C163,Fournisseurs!$A$5:$A$24,0)))*$U163*$AD163/($I163*$M163),"")</f>
        <v/>
      </c>
      <c r="AF163" s="28" t="str">
        <f aca="false">IF($Y163=1,INDEX(Fournisseurs!$L$5:$L$24,MATCH($C163,Fournisseurs!$A$5:$A$24,0))*$AD163/($I163*$M163),"")</f>
        <v/>
      </c>
      <c r="AG163" s="28" t="str">
        <f aca="false">IF($Y163=1,$AA163*$U163/$I163,"")</f>
        <v/>
      </c>
      <c r="AH163" s="28" t="str">
        <f aca="false">IF($Y163=1,$AB163*$U163/$I163,"")</f>
        <v/>
      </c>
      <c r="AI163" s="18" t="str">
        <f aca="false">IF($Y163=1,IF(AND(Paramètres!$B$4="EFFECTIVE",$W163="CH",$AB163&gt;0),1,0),"")</f>
        <v/>
      </c>
      <c r="AJ163" s="28" t="str">
        <f aca="false">IF($Y163=1,IF($X163&lt;&gt;"CH",($AG163+$AE163+$AF163)*Paramètres!$B$14,0),"")</f>
        <v/>
      </c>
      <c r="AK163" s="29" t="str">
        <f aca="false">IF($Y163=1,$AG163+IF($AI163=1,0,$AH163)+$AE163+$AF163+IF(Paramètres!$B$4="NOT_REGISTERED",$AJ163,0),"")</f>
        <v/>
      </c>
      <c r="AL163" s="27" t="str">
        <f aca="false">IF($Y163=1,($AK163+Paramètres!$B$7+Paramètres!$B$8+Paramètres!$B$9+Paramètres!$B$10)/((1-Paramètres!$B$11)/(1+Paramètres!$B$5)-Paramètres!$B$6),"")</f>
        <v/>
      </c>
      <c r="AM163" s="26" t="str">
        <f aca="false">IF(AND($Y163=1,ISNUMBER($R163)),IF($R163&gt;0,$AL163/$R163-1,""),"")</f>
        <v/>
      </c>
      <c r="AN163" s="27" t="str">
        <f aca="false">IF(AND($Y163=1,ISNUMBER($R163)),IF($R163&gt;0,$R163/(1+Paramètres!$B$5)-$AK163-($R163*Paramètres!$B$6+Paramètres!$B$7)-Paramètres!$B$8-Paramètres!$B$9-Paramètres!$B$10,""),"")</f>
        <v/>
      </c>
      <c r="AO163" s="26" t="str">
        <f aca="false">IF(ISNUMBER($AN163),$AN163/($R163/(1+Paramètres!$B$5)),"")</f>
        <v/>
      </c>
      <c r="AP163" s="30" t="str">
        <f aca="false">IF($A163="","",IF($Y163&lt;&gt;1,"INCOMPLET",IF(NOT(ISNUMBER($AM163)),"SANS RÉF. MARCHÉ",IF($AM163&lt;=Paramètres!$B$12,"OK",IF(AND($AO163&gt;=Paramètres!$B$15,$AN163&gt;=Paramètres!$B$16),"À REVOIR","NON RENTABLE")))))</f>
        <v/>
      </c>
      <c r="AQ163" s="18" t="str">
        <f aca="false">TRIM(IF(AND($Y163=1,ISNUMBER($N163)),IF($M163&lt;$N163,"MOQ ",""),"")&amp;IF(AND($Y163=1,ISNUMBER($O163)),IF($O163&lt;$I163*$M163,"DISPO ",""),"")&amp;IF($S163="O","FICTIF ","")&amp;IF($Y163=1,IF(AND($K163="TTC",$W163&lt;&gt;"CH"),"TVA-ÉTRANGÈRE ",""),""))</f>
        <v/>
      </c>
      <c r="AR163" s="18" t="str">
        <f aca="false">IF($Y163=1,COUNTIFS($A$6:$A$205,$A163,$AK$6:$AK$205,"&lt;"&amp;$AK163,$Y$6:$Y$205,1)+1,"")</f>
        <v/>
      </c>
      <c r="AS163" s="18" t="str">
        <f aca="false">IF(ISNUMBER($AR163),$A163&amp;"|"&amp;$AR163,"")</f>
        <v/>
      </c>
      <c r="AT163" s="27" t="str">
        <f aca="false">IF($Y163=1,$AK163*$I163*$M163,"")</f>
        <v/>
      </c>
    </row>
    <row r="164" customFormat="false" ht="15" hidden="false" customHeight="false" outlineLevel="0" collapsed="false">
      <c r="A164" s="9"/>
      <c r="B164" s="9"/>
      <c r="C164" s="9"/>
      <c r="D164" s="9"/>
      <c r="E164" s="9"/>
      <c r="F164" s="9"/>
      <c r="G164" s="9"/>
      <c r="H164" s="9"/>
      <c r="I164" s="9"/>
      <c r="J164" s="13"/>
      <c r="K164" s="9"/>
      <c r="L164" s="12"/>
      <c r="M164" s="9"/>
      <c r="N164" s="9"/>
      <c r="O164" s="9"/>
      <c r="P164" s="9"/>
      <c r="Q164" s="16"/>
      <c r="R164" s="13"/>
      <c r="S164" s="9"/>
      <c r="T164" s="18" t="str">
        <f aca="false">IF($C164="","",IFERROR(INDEX(Fournisseurs!$C$5:$C$24,MATCH($C164,Fournisseurs!$A$5:$A$24,0)),""))</f>
        <v/>
      </c>
      <c r="U164" s="25" t="str">
        <f aca="false">IF($C164="","",IFERROR(INDEX(Fournisseurs!$D$5:$D$24,MATCH($C164,Fournisseurs!$A$5:$A$24,0)),""))</f>
        <v/>
      </c>
      <c r="V164" s="26" t="str">
        <f aca="false">IF($C164="","",IFERROR(INDEX(Fournisseurs!$G$5:$G$24,MATCH($C164,Fournisseurs!$A$5:$A$24,0)),""))</f>
        <v/>
      </c>
      <c r="W164" s="18" t="str">
        <f aca="false">IF($C164="","",IFERROR(INDEX(Fournisseurs!$H$5:$H$24,MATCH($C164,Fournisseurs!$A$5:$A$24,0)),""))</f>
        <v/>
      </c>
      <c r="X164" s="18" t="str">
        <f aca="false">IF($C164="","",IFERROR(INDEX(Fournisseurs!$B$5:$B$24,MATCH($C164,Fournisseurs!$A$5:$A$24,0)),""))</f>
        <v/>
      </c>
      <c r="Y164" s="18" t="str">
        <f aca="false">IF($A164="","",IF(AND($A164&lt;&gt;"",$C164&lt;&gt;"",ISNUMBER($I164),ISNUMBER($J164),ISNUMBER($M164)),IF(AND($I164&gt;=1,$J164&gt;0,OR($K164="HT",$K164="TTC"),$M164&gt;=1,IFERROR(INDEX(Fournisseurs!$T$5:$T$24,MATCH($C164,Fournisseurs!$A$5:$A$24,0)),0)=1),1,0),0))</f>
        <v/>
      </c>
      <c r="Z164" s="27" t="str">
        <f aca="false">IF($Y164=1,$J164*(1-N($L164)),"")</f>
        <v/>
      </c>
      <c r="AA164" s="28" t="str">
        <f aca="false">IF($Y164=1,IF($K164="TTC",$Z164/(1+$V164),$Z164),"")</f>
        <v/>
      </c>
      <c r="AB164" s="28" t="str">
        <f aca="false">IF($Y164=1,IF($K164="TTC",$Z164-$AA164,$AA164*$V164),"")</f>
        <v/>
      </c>
      <c r="AC164" s="27" t="str">
        <f aca="false">IF($Y164=1,$AA164*$U164*$M164,"")</f>
        <v/>
      </c>
      <c r="AD164" s="26" t="str">
        <f aca="false">IF($Y164=1,$AC164/SUMIFS($AC$6:$AC$205,$C$6:$C$205,$C164,$Y$6:$Y$205,1),"")</f>
        <v/>
      </c>
      <c r="AE164" s="28" t="str">
        <f aca="false">IF($Y164=1,(INDEX(Fournisseurs!$J$5:$J$24,MATCH($C164,Fournisseurs!$A$5:$A$24,0))+INDEX(Fournisseurs!$K$5:$K$24,MATCH($C164,Fournisseurs!$A$5:$A$24,0)))*$U164*$AD164/($I164*$M164),"")</f>
        <v/>
      </c>
      <c r="AF164" s="28" t="str">
        <f aca="false">IF($Y164=1,INDEX(Fournisseurs!$L$5:$L$24,MATCH($C164,Fournisseurs!$A$5:$A$24,0))*$AD164/($I164*$M164),"")</f>
        <v/>
      </c>
      <c r="AG164" s="28" t="str">
        <f aca="false">IF($Y164=1,$AA164*$U164/$I164,"")</f>
        <v/>
      </c>
      <c r="AH164" s="28" t="str">
        <f aca="false">IF($Y164=1,$AB164*$U164/$I164,"")</f>
        <v/>
      </c>
      <c r="AI164" s="18" t="str">
        <f aca="false">IF($Y164=1,IF(AND(Paramètres!$B$4="EFFECTIVE",$W164="CH",$AB164&gt;0),1,0),"")</f>
        <v/>
      </c>
      <c r="AJ164" s="28" t="str">
        <f aca="false">IF($Y164=1,IF($X164&lt;&gt;"CH",($AG164+$AE164+$AF164)*Paramètres!$B$14,0),"")</f>
        <v/>
      </c>
      <c r="AK164" s="29" t="str">
        <f aca="false">IF($Y164=1,$AG164+IF($AI164=1,0,$AH164)+$AE164+$AF164+IF(Paramètres!$B$4="NOT_REGISTERED",$AJ164,0),"")</f>
        <v/>
      </c>
      <c r="AL164" s="27" t="str">
        <f aca="false">IF($Y164=1,($AK164+Paramètres!$B$7+Paramètres!$B$8+Paramètres!$B$9+Paramètres!$B$10)/((1-Paramètres!$B$11)/(1+Paramètres!$B$5)-Paramètres!$B$6),"")</f>
        <v/>
      </c>
      <c r="AM164" s="26" t="str">
        <f aca="false">IF(AND($Y164=1,ISNUMBER($R164)),IF($R164&gt;0,$AL164/$R164-1,""),"")</f>
        <v/>
      </c>
      <c r="AN164" s="27" t="str">
        <f aca="false">IF(AND($Y164=1,ISNUMBER($R164)),IF($R164&gt;0,$R164/(1+Paramètres!$B$5)-$AK164-($R164*Paramètres!$B$6+Paramètres!$B$7)-Paramètres!$B$8-Paramètres!$B$9-Paramètres!$B$10,""),"")</f>
        <v/>
      </c>
      <c r="AO164" s="26" t="str">
        <f aca="false">IF(ISNUMBER($AN164),$AN164/($R164/(1+Paramètres!$B$5)),"")</f>
        <v/>
      </c>
      <c r="AP164" s="30" t="str">
        <f aca="false">IF($A164="","",IF($Y164&lt;&gt;1,"INCOMPLET",IF(NOT(ISNUMBER($AM164)),"SANS RÉF. MARCHÉ",IF($AM164&lt;=Paramètres!$B$12,"OK",IF(AND($AO164&gt;=Paramètres!$B$15,$AN164&gt;=Paramètres!$B$16),"À REVOIR","NON RENTABLE")))))</f>
        <v/>
      </c>
      <c r="AQ164" s="18" t="str">
        <f aca="false">TRIM(IF(AND($Y164=1,ISNUMBER($N164)),IF($M164&lt;$N164,"MOQ ",""),"")&amp;IF(AND($Y164=1,ISNUMBER($O164)),IF($O164&lt;$I164*$M164,"DISPO ",""),"")&amp;IF($S164="O","FICTIF ","")&amp;IF($Y164=1,IF(AND($K164="TTC",$W164&lt;&gt;"CH"),"TVA-ÉTRANGÈRE ",""),""))</f>
        <v/>
      </c>
      <c r="AR164" s="18" t="str">
        <f aca="false">IF($Y164=1,COUNTIFS($A$6:$A$205,$A164,$AK$6:$AK$205,"&lt;"&amp;$AK164,$Y$6:$Y$205,1)+1,"")</f>
        <v/>
      </c>
      <c r="AS164" s="18" t="str">
        <f aca="false">IF(ISNUMBER($AR164),$A164&amp;"|"&amp;$AR164,"")</f>
        <v/>
      </c>
      <c r="AT164" s="27" t="str">
        <f aca="false">IF($Y164=1,$AK164*$I164*$M164,"")</f>
        <v/>
      </c>
    </row>
    <row r="165" customFormat="false" ht="15" hidden="false" customHeight="false" outlineLevel="0" collapsed="false">
      <c r="A165" s="9"/>
      <c r="B165" s="9"/>
      <c r="C165" s="9"/>
      <c r="D165" s="9"/>
      <c r="E165" s="9"/>
      <c r="F165" s="9"/>
      <c r="G165" s="9"/>
      <c r="H165" s="9"/>
      <c r="I165" s="9"/>
      <c r="J165" s="13"/>
      <c r="K165" s="9"/>
      <c r="L165" s="12"/>
      <c r="M165" s="9"/>
      <c r="N165" s="9"/>
      <c r="O165" s="9"/>
      <c r="P165" s="9"/>
      <c r="Q165" s="16"/>
      <c r="R165" s="13"/>
      <c r="S165" s="9"/>
      <c r="T165" s="18" t="str">
        <f aca="false">IF($C165="","",IFERROR(INDEX(Fournisseurs!$C$5:$C$24,MATCH($C165,Fournisseurs!$A$5:$A$24,0)),""))</f>
        <v/>
      </c>
      <c r="U165" s="25" t="str">
        <f aca="false">IF($C165="","",IFERROR(INDEX(Fournisseurs!$D$5:$D$24,MATCH($C165,Fournisseurs!$A$5:$A$24,0)),""))</f>
        <v/>
      </c>
      <c r="V165" s="26" t="str">
        <f aca="false">IF($C165="","",IFERROR(INDEX(Fournisseurs!$G$5:$G$24,MATCH($C165,Fournisseurs!$A$5:$A$24,0)),""))</f>
        <v/>
      </c>
      <c r="W165" s="18" t="str">
        <f aca="false">IF($C165="","",IFERROR(INDEX(Fournisseurs!$H$5:$H$24,MATCH($C165,Fournisseurs!$A$5:$A$24,0)),""))</f>
        <v/>
      </c>
      <c r="X165" s="18" t="str">
        <f aca="false">IF($C165="","",IFERROR(INDEX(Fournisseurs!$B$5:$B$24,MATCH($C165,Fournisseurs!$A$5:$A$24,0)),""))</f>
        <v/>
      </c>
      <c r="Y165" s="18" t="str">
        <f aca="false">IF($A165="","",IF(AND($A165&lt;&gt;"",$C165&lt;&gt;"",ISNUMBER($I165),ISNUMBER($J165),ISNUMBER($M165)),IF(AND($I165&gt;=1,$J165&gt;0,OR($K165="HT",$K165="TTC"),$M165&gt;=1,IFERROR(INDEX(Fournisseurs!$T$5:$T$24,MATCH($C165,Fournisseurs!$A$5:$A$24,0)),0)=1),1,0),0))</f>
        <v/>
      </c>
      <c r="Z165" s="27" t="str">
        <f aca="false">IF($Y165=1,$J165*(1-N($L165)),"")</f>
        <v/>
      </c>
      <c r="AA165" s="28" t="str">
        <f aca="false">IF($Y165=1,IF($K165="TTC",$Z165/(1+$V165),$Z165),"")</f>
        <v/>
      </c>
      <c r="AB165" s="28" t="str">
        <f aca="false">IF($Y165=1,IF($K165="TTC",$Z165-$AA165,$AA165*$V165),"")</f>
        <v/>
      </c>
      <c r="AC165" s="27" t="str">
        <f aca="false">IF($Y165=1,$AA165*$U165*$M165,"")</f>
        <v/>
      </c>
      <c r="AD165" s="26" t="str">
        <f aca="false">IF($Y165=1,$AC165/SUMIFS($AC$6:$AC$205,$C$6:$C$205,$C165,$Y$6:$Y$205,1),"")</f>
        <v/>
      </c>
      <c r="AE165" s="28" t="str">
        <f aca="false">IF($Y165=1,(INDEX(Fournisseurs!$J$5:$J$24,MATCH($C165,Fournisseurs!$A$5:$A$24,0))+INDEX(Fournisseurs!$K$5:$K$24,MATCH($C165,Fournisseurs!$A$5:$A$24,0)))*$U165*$AD165/($I165*$M165),"")</f>
        <v/>
      </c>
      <c r="AF165" s="28" t="str">
        <f aca="false">IF($Y165=1,INDEX(Fournisseurs!$L$5:$L$24,MATCH($C165,Fournisseurs!$A$5:$A$24,0))*$AD165/($I165*$M165),"")</f>
        <v/>
      </c>
      <c r="AG165" s="28" t="str">
        <f aca="false">IF($Y165=1,$AA165*$U165/$I165,"")</f>
        <v/>
      </c>
      <c r="AH165" s="28" t="str">
        <f aca="false">IF($Y165=1,$AB165*$U165/$I165,"")</f>
        <v/>
      </c>
      <c r="AI165" s="18" t="str">
        <f aca="false">IF($Y165=1,IF(AND(Paramètres!$B$4="EFFECTIVE",$W165="CH",$AB165&gt;0),1,0),"")</f>
        <v/>
      </c>
      <c r="AJ165" s="28" t="str">
        <f aca="false">IF($Y165=1,IF($X165&lt;&gt;"CH",($AG165+$AE165+$AF165)*Paramètres!$B$14,0),"")</f>
        <v/>
      </c>
      <c r="AK165" s="29" t="str">
        <f aca="false">IF($Y165=1,$AG165+IF($AI165=1,0,$AH165)+$AE165+$AF165+IF(Paramètres!$B$4="NOT_REGISTERED",$AJ165,0),"")</f>
        <v/>
      </c>
      <c r="AL165" s="27" t="str">
        <f aca="false">IF($Y165=1,($AK165+Paramètres!$B$7+Paramètres!$B$8+Paramètres!$B$9+Paramètres!$B$10)/((1-Paramètres!$B$11)/(1+Paramètres!$B$5)-Paramètres!$B$6),"")</f>
        <v/>
      </c>
      <c r="AM165" s="26" t="str">
        <f aca="false">IF(AND($Y165=1,ISNUMBER($R165)),IF($R165&gt;0,$AL165/$R165-1,""),"")</f>
        <v/>
      </c>
      <c r="AN165" s="27" t="str">
        <f aca="false">IF(AND($Y165=1,ISNUMBER($R165)),IF($R165&gt;0,$R165/(1+Paramètres!$B$5)-$AK165-($R165*Paramètres!$B$6+Paramètres!$B$7)-Paramètres!$B$8-Paramètres!$B$9-Paramètres!$B$10,""),"")</f>
        <v/>
      </c>
      <c r="AO165" s="26" t="str">
        <f aca="false">IF(ISNUMBER($AN165),$AN165/($R165/(1+Paramètres!$B$5)),"")</f>
        <v/>
      </c>
      <c r="AP165" s="30" t="str">
        <f aca="false">IF($A165="","",IF($Y165&lt;&gt;1,"INCOMPLET",IF(NOT(ISNUMBER($AM165)),"SANS RÉF. MARCHÉ",IF($AM165&lt;=Paramètres!$B$12,"OK",IF(AND($AO165&gt;=Paramètres!$B$15,$AN165&gt;=Paramètres!$B$16),"À REVOIR","NON RENTABLE")))))</f>
        <v/>
      </c>
      <c r="AQ165" s="18" t="str">
        <f aca="false">TRIM(IF(AND($Y165=1,ISNUMBER($N165)),IF($M165&lt;$N165,"MOQ ",""),"")&amp;IF(AND($Y165=1,ISNUMBER($O165)),IF($O165&lt;$I165*$M165,"DISPO ",""),"")&amp;IF($S165="O","FICTIF ","")&amp;IF($Y165=1,IF(AND($K165="TTC",$W165&lt;&gt;"CH"),"TVA-ÉTRANGÈRE ",""),""))</f>
        <v/>
      </c>
      <c r="AR165" s="18" t="str">
        <f aca="false">IF($Y165=1,COUNTIFS($A$6:$A$205,$A165,$AK$6:$AK$205,"&lt;"&amp;$AK165,$Y$6:$Y$205,1)+1,"")</f>
        <v/>
      </c>
      <c r="AS165" s="18" t="str">
        <f aca="false">IF(ISNUMBER($AR165),$A165&amp;"|"&amp;$AR165,"")</f>
        <v/>
      </c>
      <c r="AT165" s="27" t="str">
        <f aca="false">IF($Y165=1,$AK165*$I165*$M165,"")</f>
        <v/>
      </c>
    </row>
    <row r="166" customFormat="false" ht="15" hidden="false" customHeight="false" outlineLevel="0" collapsed="false">
      <c r="A166" s="9"/>
      <c r="B166" s="9"/>
      <c r="C166" s="9"/>
      <c r="D166" s="9"/>
      <c r="E166" s="9"/>
      <c r="F166" s="9"/>
      <c r="G166" s="9"/>
      <c r="H166" s="9"/>
      <c r="I166" s="9"/>
      <c r="J166" s="13"/>
      <c r="K166" s="9"/>
      <c r="L166" s="12"/>
      <c r="M166" s="9"/>
      <c r="N166" s="9"/>
      <c r="O166" s="9"/>
      <c r="P166" s="9"/>
      <c r="Q166" s="16"/>
      <c r="R166" s="13"/>
      <c r="S166" s="9"/>
      <c r="T166" s="18" t="str">
        <f aca="false">IF($C166="","",IFERROR(INDEX(Fournisseurs!$C$5:$C$24,MATCH($C166,Fournisseurs!$A$5:$A$24,0)),""))</f>
        <v/>
      </c>
      <c r="U166" s="25" t="str">
        <f aca="false">IF($C166="","",IFERROR(INDEX(Fournisseurs!$D$5:$D$24,MATCH($C166,Fournisseurs!$A$5:$A$24,0)),""))</f>
        <v/>
      </c>
      <c r="V166" s="26" t="str">
        <f aca="false">IF($C166="","",IFERROR(INDEX(Fournisseurs!$G$5:$G$24,MATCH($C166,Fournisseurs!$A$5:$A$24,0)),""))</f>
        <v/>
      </c>
      <c r="W166" s="18" t="str">
        <f aca="false">IF($C166="","",IFERROR(INDEX(Fournisseurs!$H$5:$H$24,MATCH($C166,Fournisseurs!$A$5:$A$24,0)),""))</f>
        <v/>
      </c>
      <c r="X166" s="18" t="str">
        <f aca="false">IF($C166="","",IFERROR(INDEX(Fournisseurs!$B$5:$B$24,MATCH($C166,Fournisseurs!$A$5:$A$24,0)),""))</f>
        <v/>
      </c>
      <c r="Y166" s="18" t="str">
        <f aca="false">IF($A166="","",IF(AND($A166&lt;&gt;"",$C166&lt;&gt;"",ISNUMBER($I166),ISNUMBER($J166),ISNUMBER($M166)),IF(AND($I166&gt;=1,$J166&gt;0,OR($K166="HT",$K166="TTC"),$M166&gt;=1,IFERROR(INDEX(Fournisseurs!$T$5:$T$24,MATCH($C166,Fournisseurs!$A$5:$A$24,0)),0)=1),1,0),0))</f>
        <v/>
      </c>
      <c r="Z166" s="27" t="str">
        <f aca="false">IF($Y166=1,$J166*(1-N($L166)),"")</f>
        <v/>
      </c>
      <c r="AA166" s="28" t="str">
        <f aca="false">IF($Y166=1,IF($K166="TTC",$Z166/(1+$V166),$Z166),"")</f>
        <v/>
      </c>
      <c r="AB166" s="28" t="str">
        <f aca="false">IF($Y166=1,IF($K166="TTC",$Z166-$AA166,$AA166*$V166),"")</f>
        <v/>
      </c>
      <c r="AC166" s="27" t="str">
        <f aca="false">IF($Y166=1,$AA166*$U166*$M166,"")</f>
        <v/>
      </c>
      <c r="AD166" s="26" t="str">
        <f aca="false">IF($Y166=1,$AC166/SUMIFS($AC$6:$AC$205,$C$6:$C$205,$C166,$Y$6:$Y$205,1),"")</f>
        <v/>
      </c>
      <c r="AE166" s="28" t="str">
        <f aca="false">IF($Y166=1,(INDEX(Fournisseurs!$J$5:$J$24,MATCH($C166,Fournisseurs!$A$5:$A$24,0))+INDEX(Fournisseurs!$K$5:$K$24,MATCH($C166,Fournisseurs!$A$5:$A$24,0)))*$U166*$AD166/($I166*$M166),"")</f>
        <v/>
      </c>
      <c r="AF166" s="28" t="str">
        <f aca="false">IF($Y166=1,INDEX(Fournisseurs!$L$5:$L$24,MATCH($C166,Fournisseurs!$A$5:$A$24,0))*$AD166/($I166*$M166),"")</f>
        <v/>
      </c>
      <c r="AG166" s="28" t="str">
        <f aca="false">IF($Y166=1,$AA166*$U166/$I166,"")</f>
        <v/>
      </c>
      <c r="AH166" s="28" t="str">
        <f aca="false">IF($Y166=1,$AB166*$U166/$I166,"")</f>
        <v/>
      </c>
      <c r="AI166" s="18" t="str">
        <f aca="false">IF($Y166=1,IF(AND(Paramètres!$B$4="EFFECTIVE",$W166="CH",$AB166&gt;0),1,0),"")</f>
        <v/>
      </c>
      <c r="AJ166" s="28" t="str">
        <f aca="false">IF($Y166=1,IF($X166&lt;&gt;"CH",($AG166+$AE166+$AF166)*Paramètres!$B$14,0),"")</f>
        <v/>
      </c>
      <c r="AK166" s="29" t="str">
        <f aca="false">IF($Y166=1,$AG166+IF($AI166=1,0,$AH166)+$AE166+$AF166+IF(Paramètres!$B$4="NOT_REGISTERED",$AJ166,0),"")</f>
        <v/>
      </c>
      <c r="AL166" s="27" t="str">
        <f aca="false">IF($Y166=1,($AK166+Paramètres!$B$7+Paramètres!$B$8+Paramètres!$B$9+Paramètres!$B$10)/((1-Paramètres!$B$11)/(1+Paramètres!$B$5)-Paramètres!$B$6),"")</f>
        <v/>
      </c>
      <c r="AM166" s="26" t="str">
        <f aca="false">IF(AND($Y166=1,ISNUMBER($R166)),IF($R166&gt;0,$AL166/$R166-1,""),"")</f>
        <v/>
      </c>
      <c r="AN166" s="27" t="str">
        <f aca="false">IF(AND($Y166=1,ISNUMBER($R166)),IF($R166&gt;0,$R166/(1+Paramètres!$B$5)-$AK166-($R166*Paramètres!$B$6+Paramètres!$B$7)-Paramètres!$B$8-Paramètres!$B$9-Paramètres!$B$10,""),"")</f>
        <v/>
      </c>
      <c r="AO166" s="26" t="str">
        <f aca="false">IF(ISNUMBER($AN166),$AN166/($R166/(1+Paramètres!$B$5)),"")</f>
        <v/>
      </c>
      <c r="AP166" s="30" t="str">
        <f aca="false">IF($A166="","",IF($Y166&lt;&gt;1,"INCOMPLET",IF(NOT(ISNUMBER($AM166)),"SANS RÉF. MARCHÉ",IF($AM166&lt;=Paramètres!$B$12,"OK",IF(AND($AO166&gt;=Paramètres!$B$15,$AN166&gt;=Paramètres!$B$16),"À REVOIR","NON RENTABLE")))))</f>
        <v/>
      </c>
      <c r="AQ166" s="18" t="str">
        <f aca="false">TRIM(IF(AND($Y166=1,ISNUMBER($N166)),IF($M166&lt;$N166,"MOQ ",""),"")&amp;IF(AND($Y166=1,ISNUMBER($O166)),IF($O166&lt;$I166*$M166,"DISPO ",""),"")&amp;IF($S166="O","FICTIF ","")&amp;IF($Y166=1,IF(AND($K166="TTC",$W166&lt;&gt;"CH"),"TVA-ÉTRANGÈRE ",""),""))</f>
        <v/>
      </c>
      <c r="AR166" s="18" t="str">
        <f aca="false">IF($Y166=1,COUNTIFS($A$6:$A$205,$A166,$AK$6:$AK$205,"&lt;"&amp;$AK166,$Y$6:$Y$205,1)+1,"")</f>
        <v/>
      </c>
      <c r="AS166" s="18" t="str">
        <f aca="false">IF(ISNUMBER($AR166),$A166&amp;"|"&amp;$AR166,"")</f>
        <v/>
      </c>
      <c r="AT166" s="27" t="str">
        <f aca="false">IF($Y166=1,$AK166*$I166*$M166,"")</f>
        <v/>
      </c>
    </row>
    <row r="167" customFormat="false" ht="15" hidden="false" customHeight="false" outlineLevel="0" collapsed="false">
      <c r="A167" s="9"/>
      <c r="B167" s="9"/>
      <c r="C167" s="9"/>
      <c r="D167" s="9"/>
      <c r="E167" s="9"/>
      <c r="F167" s="9"/>
      <c r="G167" s="9"/>
      <c r="H167" s="9"/>
      <c r="I167" s="9"/>
      <c r="J167" s="13"/>
      <c r="K167" s="9"/>
      <c r="L167" s="12"/>
      <c r="M167" s="9"/>
      <c r="N167" s="9"/>
      <c r="O167" s="9"/>
      <c r="P167" s="9"/>
      <c r="Q167" s="16"/>
      <c r="R167" s="13"/>
      <c r="S167" s="9"/>
      <c r="T167" s="18" t="str">
        <f aca="false">IF($C167="","",IFERROR(INDEX(Fournisseurs!$C$5:$C$24,MATCH($C167,Fournisseurs!$A$5:$A$24,0)),""))</f>
        <v/>
      </c>
      <c r="U167" s="25" t="str">
        <f aca="false">IF($C167="","",IFERROR(INDEX(Fournisseurs!$D$5:$D$24,MATCH($C167,Fournisseurs!$A$5:$A$24,0)),""))</f>
        <v/>
      </c>
      <c r="V167" s="26" t="str">
        <f aca="false">IF($C167="","",IFERROR(INDEX(Fournisseurs!$G$5:$G$24,MATCH($C167,Fournisseurs!$A$5:$A$24,0)),""))</f>
        <v/>
      </c>
      <c r="W167" s="18" t="str">
        <f aca="false">IF($C167="","",IFERROR(INDEX(Fournisseurs!$H$5:$H$24,MATCH($C167,Fournisseurs!$A$5:$A$24,0)),""))</f>
        <v/>
      </c>
      <c r="X167" s="18" t="str">
        <f aca="false">IF($C167="","",IFERROR(INDEX(Fournisseurs!$B$5:$B$24,MATCH($C167,Fournisseurs!$A$5:$A$24,0)),""))</f>
        <v/>
      </c>
      <c r="Y167" s="18" t="str">
        <f aca="false">IF($A167="","",IF(AND($A167&lt;&gt;"",$C167&lt;&gt;"",ISNUMBER($I167),ISNUMBER($J167),ISNUMBER($M167)),IF(AND($I167&gt;=1,$J167&gt;0,OR($K167="HT",$K167="TTC"),$M167&gt;=1,IFERROR(INDEX(Fournisseurs!$T$5:$T$24,MATCH($C167,Fournisseurs!$A$5:$A$24,0)),0)=1),1,0),0))</f>
        <v/>
      </c>
      <c r="Z167" s="27" t="str">
        <f aca="false">IF($Y167=1,$J167*(1-N($L167)),"")</f>
        <v/>
      </c>
      <c r="AA167" s="28" t="str">
        <f aca="false">IF($Y167=1,IF($K167="TTC",$Z167/(1+$V167),$Z167),"")</f>
        <v/>
      </c>
      <c r="AB167" s="28" t="str">
        <f aca="false">IF($Y167=1,IF($K167="TTC",$Z167-$AA167,$AA167*$V167),"")</f>
        <v/>
      </c>
      <c r="AC167" s="27" t="str">
        <f aca="false">IF($Y167=1,$AA167*$U167*$M167,"")</f>
        <v/>
      </c>
      <c r="AD167" s="26" t="str">
        <f aca="false">IF($Y167=1,$AC167/SUMIFS($AC$6:$AC$205,$C$6:$C$205,$C167,$Y$6:$Y$205,1),"")</f>
        <v/>
      </c>
      <c r="AE167" s="28" t="str">
        <f aca="false">IF($Y167=1,(INDEX(Fournisseurs!$J$5:$J$24,MATCH($C167,Fournisseurs!$A$5:$A$24,0))+INDEX(Fournisseurs!$K$5:$K$24,MATCH($C167,Fournisseurs!$A$5:$A$24,0)))*$U167*$AD167/($I167*$M167),"")</f>
        <v/>
      </c>
      <c r="AF167" s="28" t="str">
        <f aca="false">IF($Y167=1,INDEX(Fournisseurs!$L$5:$L$24,MATCH($C167,Fournisseurs!$A$5:$A$24,0))*$AD167/($I167*$M167),"")</f>
        <v/>
      </c>
      <c r="AG167" s="28" t="str">
        <f aca="false">IF($Y167=1,$AA167*$U167/$I167,"")</f>
        <v/>
      </c>
      <c r="AH167" s="28" t="str">
        <f aca="false">IF($Y167=1,$AB167*$U167/$I167,"")</f>
        <v/>
      </c>
      <c r="AI167" s="18" t="str">
        <f aca="false">IF($Y167=1,IF(AND(Paramètres!$B$4="EFFECTIVE",$W167="CH",$AB167&gt;0),1,0),"")</f>
        <v/>
      </c>
      <c r="AJ167" s="28" t="str">
        <f aca="false">IF($Y167=1,IF($X167&lt;&gt;"CH",($AG167+$AE167+$AF167)*Paramètres!$B$14,0),"")</f>
        <v/>
      </c>
      <c r="AK167" s="29" t="str">
        <f aca="false">IF($Y167=1,$AG167+IF($AI167=1,0,$AH167)+$AE167+$AF167+IF(Paramètres!$B$4="NOT_REGISTERED",$AJ167,0),"")</f>
        <v/>
      </c>
      <c r="AL167" s="27" t="str">
        <f aca="false">IF($Y167=1,($AK167+Paramètres!$B$7+Paramètres!$B$8+Paramètres!$B$9+Paramètres!$B$10)/((1-Paramètres!$B$11)/(1+Paramètres!$B$5)-Paramètres!$B$6),"")</f>
        <v/>
      </c>
      <c r="AM167" s="26" t="str">
        <f aca="false">IF(AND($Y167=1,ISNUMBER($R167)),IF($R167&gt;0,$AL167/$R167-1,""),"")</f>
        <v/>
      </c>
      <c r="AN167" s="27" t="str">
        <f aca="false">IF(AND($Y167=1,ISNUMBER($R167)),IF($R167&gt;0,$R167/(1+Paramètres!$B$5)-$AK167-($R167*Paramètres!$B$6+Paramètres!$B$7)-Paramètres!$B$8-Paramètres!$B$9-Paramètres!$B$10,""),"")</f>
        <v/>
      </c>
      <c r="AO167" s="26" t="str">
        <f aca="false">IF(ISNUMBER($AN167),$AN167/($R167/(1+Paramètres!$B$5)),"")</f>
        <v/>
      </c>
      <c r="AP167" s="30" t="str">
        <f aca="false">IF($A167="","",IF($Y167&lt;&gt;1,"INCOMPLET",IF(NOT(ISNUMBER($AM167)),"SANS RÉF. MARCHÉ",IF($AM167&lt;=Paramètres!$B$12,"OK",IF(AND($AO167&gt;=Paramètres!$B$15,$AN167&gt;=Paramètres!$B$16),"À REVOIR","NON RENTABLE")))))</f>
        <v/>
      </c>
      <c r="AQ167" s="18" t="str">
        <f aca="false">TRIM(IF(AND($Y167=1,ISNUMBER($N167)),IF($M167&lt;$N167,"MOQ ",""),"")&amp;IF(AND($Y167=1,ISNUMBER($O167)),IF($O167&lt;$I167*$M167,"DISPO ",""),"")&amp;IF($S167="O","FICTIF ","")&amp;IF($Y167=1,IF(AND($K167="TTC",$W167&lt;&gt;"CH"),"TVA-ÉTRANGÈRE ",""),""))</f>
        <v/>
      </c>
      <c r="AR167" s="18" t="str">
        <f aca="false">IF($Y167=1,COUNTIFS($A$6:$A$205,$A167,$AK$6:$AK$205,"&lt;"&amp;$AK167,$Y$6:$Y$205,1)+1,"")</f>
        <v/>
      </c>
      <c r="AS167" s="18" t="str">
        <f aca="false">IF(ISNUMBER($AR167),$A167&amp;"|"&amp;$AR167,"")</f>
        <v/>
      </c>
      <c r="AT167" s="27" t="str">
        <f aca="false">IF($Y167=1,$AK167*$I167*$M167,"")</f>
        <v/>
      </c>
    </row>
    <row r="168" customFormat="false" ht="15" hidden="false" customHeight="false" outlineLevel="0" collapsed="false">
      <c r="A168" s="9"/>
      <c r="B168" s="9"/>
      <c r="C168" s="9"/>
      <c r="D168" s="9"/>
      <c r="E168" s="9"/>
      <c r="F168" s="9"/>
      <c r="G168" s="9"/>
      <c r="H168" s="9"/>
      <c r="I168" s="9"/>
      <c r="J168" s="13"/>
      <c r="K168" s="9"/>
      <c r="L168" s="12"/>
      <c r="M168" s="9"/>
      <c r="N168" s="9"/>
      <c r="O168" s="9"/>
      <c r="P168" s="9"/>
      <c r="Q168" s="16"/>
      <c r="R168" s="13"/>
      <c r="S168" s="9"/>
      <c r="T168" s="18" t="str">
        <f aca="false">IF($C168="","",IFERROR(INDEX(Fournisseurs!$C$5:$C$24,MATCH($C168,Fournisseurs!$A$5:$A$24,0)),""))</f>
        <v/>
      </c>
      <c r="U168" s="25" t="str">
        <f aca="false">IF($C168="","",IFERROR(INDEX(Fournisseurs!$D$5:$D$24,MATCH($C168,Fournisseurs!$A$5:$A$24,0)),""))</f>
        <v/>
      </c>
      <c r="V168" s="26" t="str">
        <f aca="false">IF($C168="","",IFERROR(INDEX(Fournisseurs!$G$5:$G$24,MATCH($C168,Fournisseurs!$A$5:$A$24,0)),""))</f>
        <v/>
      </c>
      <c r="W168" s="18" t="str">
        <f aca="false">IF($C168="","",IFERROR(INDEX(Fournisseurs!$H$5:$H$24,MATCH($C168,Fournisseurs!$A$5:$A$24,0)),""))</f>
        <v/>
      </c>
      <c r="X168" s="18" t="str">
        <f aca="false">IF($C168="","",IFERROR(INDEX(Fournisseurs!$B$5:$B$24,MATCH($C168,Fournisseurs!$A$5:$A$24,0)),""))</f>
        <v/>
      </c>
      <c r="Y168" s="18" t="str">
        <f aca="false">IF($A168="","",IF(AND($A168&lt;&gt;"",$C168&lt;&gt;"",ISNUMBER($I168),ISNUMBER($J168),ISNUMBER($M168)),IF(AND($I168&gt;=1,$J168&gt;0,OR($K168="HT",$K168="TTC"),$M168&gt;=1,IFERROR(INDEX(Fournisseurs!$T$5:$T$24,MATCH($C168,Fournisseurs!$A$5:$A$24,0)),0)=1),1,0),0))</f>
        <v/>
      </c>
      <c r="Z168" s="27" t="str">
        <f aca="false">IF($Y168=1,$J168*(1-N($L168)),"")</f>
        <v/>
      </c>
      <c r="AA168" s="28" t="str">
        <f aca="false">IF($Y168=1,IF($K168="TTC",$Z168/(1+$V168),$Z168),"")</f>
        <v/>
      </c>
      <c r="AB168" s="28" t="str">
        <f aca="false">IF($Y168=1,IF($K168="TTC",$Z168-$AA168,$AA168*$V168),"")</f>
        <v/>
      </c>
      <c r="AC168" s="27" t="str">
        <f aca="false">IF($Y168=1,$AA168*$U168*$M168,"")</f>
        <v/>
      </c>
      <c r="AD168" s="26" t="str">
        <f aca="false">IF($Y168=1,$AC168/SUMIFS($AC$6:$AC$205,$C$6:$C$205,$C168,$Y$6:$Y$205,1),"")</f>
        <v/>
      </c>
      <c r="AE168" s="28" t="str">
        <f aca="false">IF($Y168=1,(INDEX(Fournisseurs!$J$5:$J$24,MATCH($C168,Fournisseurs!$A$5:$A$24,0))+INDEX(Fournisseurs!$K$5:$K$24,MATCH($C168,Fournisseurs!$A$5:$A$24,0)))*$U168*$AD168/($I168*$M168),"")</f>
        <v/>
      </c>
      <c r="AF168" s="28" t="str">
        <f aca="false">IF($Y168=1,INDEX(Fournisseurs!$L$5:$L$24,MATCH($C168,Fournisseurs!$A$5:$A$24,0))*$AD168/($I168*$M168),"")</f>
        <v/>
      </c>
      <c r="AG168" s="28" t="str">
        <f aca="false">IF($Y168=1,$AA168*$U168/$I168,"")</f>
        <v/>
      </c>
      <c r="AH168" s="28" t="str">
        <f aca="false">IF($Y168=1,$AB168*$U168/$I168,"")</f>
        <v/>
      </c>
      <c r="AI168" s="18" t="str">
        <f aca="false">IF($Y168=1,IF(AND(Paramètres!$B$4="EFFECTIVE",$W168="CH",$AB168&gt;0),1,0),"")</f>
        <v/>
      </c>
      <c r="AJ168" s="28" t="str">
        <f aca="false">IF($Y168=1,IF($X168&lt;&gt;"CH",($AG168+$AE168+$AF168)*Paramètres!$B$14,0),"")</f>
        <v/>
      </c>
      <c r="AK168" s="29" t="str">
        <f aca="false">IF($Y168=1,$AG168+IF($AI168=1,0,$AH168)+$AE168+$AF168+IF(Paramètres!$B$4="NOT_REGISTERED",$AJ168,0),"")</f>
        <v/>
      </c>
      <c r="AL168" s="27" t="str">
        <f aca="false">IF($Y168=1,($AK168+Paramètres!$B$7+Paramètres!$B$8+Paramètres!$B$9+Paramètres!$B$10)/((1-Paramètres!$B$11)/(1+Paramètres!$B$5)-Paramètres!$B$6),"")</f>
        <v/>
      </c>
      <c r="AM168" s="26" t="str">
        <f aca="false">IF(AND($Y168=1,ISNUMBER($R168)),IF($R168&gt;0,$AL168/$R168-1,""),"")</f>
        <v/>
      </c>
      <c r="AN168" s="27" t="str">
        <f aca="false">IF(AND($Y168=1,ISNUMBER($R168)),IF($R168&gt;0,$R168/(1+Paramètres!$B$5)-$AK168-($R168*Paramètres!$B$6+Paramètres!$B$7)-Paramètres!$B$8-Paramètres!$B$9-Paramètres!$B$10,""),"")</f>
        <v/>
      </c>
      <c r="AO168" s="26" t="str">
        <f aca="false">IF(ISNUMBER($AN168),$AN168/($R168/(1+Paramètres!$B$5)),"")</f>
        <v/>
      </c>
      <c r="AP168" s="30" t="str">
        <f aca="false">IF($A168="","",IF($Y168&lt;&gt;1,"INCOMPLET",IF(NOT(ISNUMBER($AM168)),"SANS RÉF. MARCHÉ",IF($AM168&lt;=Paramètres!$B$12,"OK",IF(AND($AO168&gt;=Paramètres!$B$15,$AN168&gt;=Paramètres!$B$16),"À REVOIR","NON RENTABLE")))))</f>
        <v/>
      </c>
      <c r="AQ168" s="18" t="str">
        <f aca="false">TRIM(IF(AND($Y168=1,ISNUMBER($N168)),IF($M168&lt;$N168,"MOQ ",""),"")&amp;IF(AND($Y168=1,ISNUMBER($O168)),IF($O168&lt;$I168*$M168,"DISPO ",""),"")&amp;IF($S168="O","FICTIF ","")&amp;IF($Y168=1,IF(AND($K168="TTC",$W168&lt;&gt;"CH"),"TVA-ÉTRANGÈRE ",""),""))</f>
        <v/>
      </c>
      <c r="AR168" s="18" t="str">
        <f aca="false">IF($Y168=1,COUNTIFS($A$6:$A$205,$A168,$AK$6:$AK$205,"&lt;"&amp;$AK168,$Y$6:$Y$205,1)+1,"")</f>
        <v/>
      </c>
      <c r="AS168" s="18" t="str">
        <f aca="false">IF(ISNUMBER($AR168),$A168&amp;"|"&amp;$AR168,"")</f>
        <v/>
      </c>
      <c r="AT168" s="27" t="str">
        <f aca="false">IF($Y168=1,$AK168*$I168*$M168,"")</f>
        <v/>
      </c>
    </row>
    <row r="169" customFormat="false" ht="15" hidden="false" customHeight="false" outlineLevel="0" collapsed="false">
      <c r="A169" s="9"/>
      <c r="B169" s="9"/>
      <c r="C169" s="9"/>
      <c r="D169" s="9"/>
      <c r="E169" s="9"/>
      <c r="F169" s="9"/>
      <c r="G169" s="9"/>
      <c r="H169" s="9"/>
      <c r="I169" s="9"/>
      <c r="J169" s="13"/>
      <c r="K169" s="9"/>
      <c r="L169" s="12"/>
      <c r="M169" s="9"/>
      <c r="N169" s="9"/>
      <c r="O169" s="9"/>
      <c r="P169" s="9"/>
      <c r="Q169" s="16"/>
      <c r="R169" s="13"/>
      <c r="S169" s="9"/>
      <c r="T169" s="18" t="str">
        <f aca="false">IF($C169="","",IFERROR(INDEX(Fournisseurs!$C$5:$C$24,MATCH($C169,Fournisseurs!$A$5:$A$24,0)),""))</f>
        <v/>
      </c>
      <c r="U169" s="25" t="str">
        <f aca="false">IF($C169="","",IFERROR(INDEX(Fournisseurs!$D$5:$D$24,MATCH($C169,Fournisseurs!$A$5:$A$24,0)),""))</f>
        <v/>
      </c>
      <c r="V169" s="26" t="str">
        <f aca="false">IF($C169="","",IFERROR(INDEX(Fournisseurs!$G$5:$G$24,MATCH($C169,Fournisseurs!$A$5:$A$24,0)),""))</f>
        <v/>
      </c>
      <c r="W169" s="18" t="str">
        <f aca="false">IF($C169="","",IFERROR(INDEX(Fournisseurs!$H$5:$H$24,MATCH($C169,Fournisseurs!$A$5:$A$24,0)),""))</f>
        <v/>
      </c>
      <c r="X169" s="18" t="str">
        <f aca="false">IF($C169="","",IFERROR(INDEX(Fournisseurs!$B$5:$B$24,MATCH($C169,Fournisseurs!$A$5:$A$24,0)),""))</f>
        <v/>
      </c>
      <c r="Y169" s="18" t="str">
        <f aca="false">IF($A169="","",IF(AND($A169&lt;&gt;"",$C169&lt;&gt;"",ISNUMBER($I169),ISNUMBER($J169),ISNUMBER($M169)),IF(AND($I169&gt;=1,$J169&gt;0,OR($K169="HT",$K169="TTC"),$M169&gt;=1,IFERROR(INDEX(Fournisseurs!$T$5:$T$24,MATCH($C169,Fournisseurs!$A$5:$A$24,0)),0)=1),1,0),0))</f>
        <v/>
      </c>
      <c r="Z169" s="27" t="str">
        <f aca="false">IF($Y169=1,$J169*(1-N($L169)),"")</f>
        <v/>
      </c>
      <c r="AA169" s="28" t="str">
        <f aca="false">IF($Y169=1,IF($K169="TTC",$Z169/(1+$V169),$Z169),"")</f>
        <v/>
      </c>
      <c r="AB169" s="28" t="str">
        <f aca="false">IF($Y169=1,IF($K169="TTC",$Z169-$AA169,$AA169*$V169),"")</f>
        <v/>
      </c>
      <c r="AC169" s="27" t="str">
        <f aca="false">IF($Y169=1,$AA169*$U169*$M169,"")</f>
        <v/>
      </c>
      <c r="AD169" s="26" t="str">
        <f aca="false">IF($Y169=1,$AC169/SUMIFS($AC$6:$AC$205,$C$6:$C$205,$C169,$Y$6:$Y$205,1),"")</f>
        <v/>
      </c>
      <c r="AE169" s="28" t="str">
        <f aca="false">IF($Y169=1,(INDEX(Fournisseurs!$J$5:$J$24,MATCH($C169,Fournisseurs!$A$5:$A$24,0))+INDEX(Fournisseurs!$K$5:$K$24,MATCH($C169,Fournisseurs!$A$5:$A$24,0)))*$U169*$AD169/($I169*$M169),"")</f>
        <v/>
      </c>
      <c r="AF169" s="28" t="str">
        <f aca="false">IF($Y169=1,INDEX(Fournisseurs!$L$5:$L$24,MATCH($C169,Fournisseurs!$A$5:$A$24,0))*$AD169/($I169*$M169),"")</f>
        <v/>
      </c>
      <c r="AG169" s="28" t="str">
        <f aca="false">IF($Y169=1,$AA169*$U169/$I169,"")</f>
        <v/>
      </c>
      <c r="AH169" s="28" t="str">
        <f aca="false">IF($Y169=1,$AB169*$U169/$I169,"")</f>
        <v/>
      </c>
      <c r="AI169" s="18" t="str">
        <f aca="false">IF($Y169=1,IF(AND(Paramètres!$B$4="EFFECTIVE",$W169="CH",$AB169&gt;0),1,0),"")</f>
        <v/>
      </c>
      <c r="AJ169" s="28" t="str">
        <f aca="false">IF($Y169=1,IF($X169&lt;&gt;"CH",($AG169+$AE169+$AF169)*Paramètres!$B$14,0),"")</f>
        <v/>
      </c>
      <c r="AK169" s="29" t="str">
        <f aca="false">IF($Y169=1,$AG169+IF($AI169=1,0,$AH169)+$AE169+$AF169+IF(Paramètres!$B$4="NOT_REGISTERED",$AJ169,0),"")</f>
        <v/>
      </c>
      <c r="AL169" s="27" t="str">
        <f aca="false">IF($Y169=1,($AK169+Paramètres!$B$7+Paramètres!$B$8+Paramètres!$B$9+Paramètres!$B$10)/((1-Paramètres!$B$11)/(1+Paramètres!$B$5)-Paramètres!$B$6),"")</f>
        <v/>
      </c>
      <c r="AM169" s="26" t="str">
        <f aca="false">IF(AND($Y169=1,ISNUMBER($R169)),IF($R169&gt;0,$AL169/$R169-1,""),"")</f>
        <v/>
      </c>
      <c r="AN169" s="27" t="str">
        <f aca="false">IF(AND($Y169=1,ISNUMBER($R169)),IF($R169&gt;0,$R169/(1+Paramètres!$B$5)-$AK169-($R169*Paramètres!$B$6+Paramètres!$B$7)-Paramètres!$B$8-Paramètres!$B$9-Paramètres!$B$10,""),"")</f>
        <v/>
      </c>
      <c r="AO169" s="26" t="str">
        <f aca="false">IF(ISNUMBER($AN169),$AN169/($R169/(1+Paramètres!$B$5)),"")</f>
        <v/>
      </c>
      <c r="AP169" s="30" t="str">
        <f aca="false">IF($A169="","",IF($Y169&lt;&gt;1,"INCOMPLET",IF(NOT(ISNUMBER($AM169)),"SANS RÉF. MARCHÉ",IF($AM169&lt;=Paramètres!$B$12,"OK",IF(AND($AO169&gt;=Paramètres!$B$15,$AN169&gt;=Paramètres!$B$16),"À REVOIR","NON RENTABLE")))))</f>
        <v/>
      </c>
      <c r="AQ169" s="18" t="str">
        <f aca="false">TRIM(IF(AND($Y169=1,ISNUMBER($N169)),IF($M169&lt;$N169,"MOQ ",""),"")&amp;IF(AND($Y169=1,ISNUMBER($O169)),IF($O169&lt;$I169*$M169,"DISPO ",""),"")&amp;IF($S169="O","FICTIF ","")&amp;IF($Y169=1,IF(AND($K169="TTC",$W169&lt;&gt;"CH"),"TVA-ÉTRANGÈRE ",""),""))</f>
        <v/>
      </c>
      <c r="AR169" s="18" t="str">
        <f aca="false">IF($Y169=1,COUNTIFS($A$6:$A$205,$A169,$AK$6:$AK$205,"&lt;"&amp;$AK169,$Y$6:$Y$205,1)+1,"")</f>
        <v/>
      </c>
      <c r="AS169" s="18" t="str">
        <f aca="false">IF(ISNUMBER($AR169),$A169&amp;"|"&amp;$AR169,"")</f>
        <v/>
      </c>
      <c r="AT169" s="27" t="str">
        <f aca="false">IF($Y169=1,$AK169*$I169*$M169,"")</f>
        <v/>
      </c>
    </row>
    <row r="170" customFormat="false" ht="15" hidden="false" customHeight="false" outlineLevel="0" collapsed="false">
      <c r="A170" s="9"/>
      <c r="B170" s="9"/>
      <c r="C170" s="9"/>
      <c r="D170" s="9"/>
      <c r="E170" s="9"/>
      <c r="F170" s="9"/>
      <c r="G170" s="9"/>
      <c r="H170" s="9"/>
      <c r="I170" s="9"/>
      <c r="J170" s="13"/>
      <c r="K170" s="9"/>
      <c r="L170" s="12"/>
      <c r="M170" s="9"/>
      <c r="N170" s="9"/>
      <c r="O170" s="9"/>
      <c r="P170" s="9"/>
      <c r="Q170" s="16"/>
      <c r="R170" s="13"/>
      <c r="S170" s="9"/>
      <c r="T170" s="18" t="str">
        <f aca="false">IF($C170="","",IFERROR(INDEX(Fournisseurs!$C$5:$C$24,MATCH($C170,Fournisseurs!$A$5:$A$24,0)),""))</f>
        <v/>
      </c>
      <c r="U170" s="25" t="str">
        <f aca="false">IF($C170="","",IFERROR(INDEX(Fournisseurs!$D$5:$D$24,MATCH($C170,Fournisseurs!$A$5:$A$24,0)),""))</f>
        <v/>
      </c>
      <c r="V170" s="26" t="str">
        <f aca="false">IF($C170="","",IFERROR(INDEX(Fournisseurs!$G$5:$G$24,MATCH($C170,Fournisseurs!$A$5:$A$24,0)),""))</f>
        <v/>
      </c>
      <c r="W170" s="18" t="str">
        <f aca="false">IF($C170="","",IFERROR(INDEX(Fournisseurs!$H$5:$H$24,MATCH($C170,Fournisseurs!$A$5:$A$24,0)),""))</f>
        <v/>
      </c>
      <c r="X170" s="18" t="str">
        <f aca="false">IF($C170="","",IFERROR(INDEX(Fournisseurs!$B$5:$B$24,MATCH($C170,Fournisseurs!$A$5:$A$24,0)),""))</f>
        <v/>
      </c>
      <c r="Y170" s="18" t="str">
        <f aca="false">IF($A170="","",IF(AND($A170&lt;&gt;"",$C170&lt;&gt;"",ISNUMBER($I170),ISNUMBER($J170),ISNUMBER($M170)),IF(AND($I170&gt;=1,$J170&gt;0,OR($K170="HT",$K170="TTC"),$M170&gt;=1,IFERROR(INDEX(Fournisseurs!$T$5:$T$24,MATCH($C170,Fournisseurs!$A$5:$A$24,0)),0)=1),1,0),0))</f>
        <v/>
      </c>
      <c r="Z170" s="27" t="str">
        <f aca="false">IF($Y170=1,$J170*(1-N($L170)),"")</f>
        <v/>
      </c>
      <c r="AA170" s="28" t="str">
        <f aca="false">IF($Y170=1,IF($K170="TTC",$Z170/(1+$V170),$Z170),"")</f>
        <v/>
      </c>
      <c r="AB170" s="28" t="str">
        <f aca="false">IF($Y170=1,IF($K170="TTC",$Z170-$AA170,$AA170*$V170),"")</f>
        <v/>
      </c>
      <c r="AC170" s="27" t="str">
        <f aca="false">IF($Y170=1,$AA170*$U170*$M170,"")</f>
        <v/>
      </c>
      <c r="AD170" s="26" t="str">
        <f aca="false">IF($Y170=1,$AC170/SUMIFS($AC$6:$AC$205,$C$6:$C$205,$C170,$Y$6:$Y$205,1),"")</f>
        <v/>
      </c>
      <c r="AE170" s="28" t="str">
        <f aca="false">IF($Y170=1,(INDEX(Fournisseurs!$J$5:$J$24,MATCH($C170,Fournisseurs!$A$5:$A$24,0))+INDEX(Fournisseurs!$K$5:$K$24,MATCH($C170,Fournisseurs!$A$5:$A$24,0)))*$U170*$AD170/($I170*$M170),"")</f>
        <v/>
      </c>
      <c r="AF170" s="28" t="str">
        <f aca="false">IF($Y170=1,INDEX(Fournisseurs!$L$5:$L$24,MATCH($C170,Fournisseurs!$A$5:$A$24,0))*$AD170/($I170*$M170),"")</f>
        <v/>
      </c>
      <c r="AG170" s="28" t="str">
        <f aca="false">IF($Y170=1,$AA170*$U170/$I170,"")</f>
        <v/>
      </c>
      <c r="AH170" s="28" t="str">
        <f aca="false">IF($Y170=1,$AB170*$U170/$I170,"")</f>
        <v/>
      </c>
      <c r="AI170" s="18" t="str">
        <f aca="false">IF($Y170=1,IF(AND(Paramètres!$B$4="EFFECTIVE",$W170="CH",$AB170&gt;0),1,0),"")</f>
        <v/>
      </c>
      <c r="AJ170" s="28" t="str">
        <f aca="false">IF($Y170=1,IF($X170&lt;&gt;"CH",($AG170+$AE170+$AF170)*Paramètres!$B$14,0),"")</f>
        <v/>
      </c>
      <c r="AK170" s="29" t="str">
        <f aca="false">IF($Y170=1,$AG170+IF($AI170=1,0,$AH170)+$AE170+$AF170+IF(Paramètres!$B$4="NOT_REGISTERED",$AJ170,0),"")</f>
        <v/>
      </c>
      <c r="AL170" s="27" t="str">
        <f aca="false">IF($Y170=1,($AK170+Paramètres!$B$7+Paramètres!$B$8+Paramètres!$B$9+Paramètres!$B$10)/((1-Paramètres!$B$11)/(1+Paramètres!$B$5)-Paramètres!$B$6),"")</f>
        <v/>
      </c>
      <c r="AM170" s="26" t="str">
        <f aca="false">IF(AND($Y170=1,ISNUMBER($R170)),IF($R170&gt;0,$AL170/$R170-1,""),"")</f>
        <v/>
      </c>
      <c r="AN170" s="27" t="str">
        <f aca="false">IF(AND($Y170=1,ISNUMBER($R170)),IF($R170&gt;0,$R170/(1+Paramètres!$B$5)-$AK170-($R170*Paramètres!$B$6+Paramètres!$B$7)-Paramètres!$B$8-Paramètres!$B$9-Paramètres!$B$10,""),"")</f>
        <v/>
      </c>
      <c r="AO170" s="26" t="str">
        <f aca="false">IF(ISNUMBER($AN170),$AN170/($R170/(1+Paramètres!$B$5)),"")</f>
        <v/>
      </c>
      <c r="AP170" s="30" t="str">
        <f aca="false">IF($A170="","",IF($Y170&lt;&gt;1,"INCOMPLET",IF(NOT(ISNUMBER($AM170)),"SANS RÉF. MARCHÉ",IF($AM170&lt;=Paramètres!$B$12,"OK",IF(AND($AO170&gt;=Paramètres!$B$15,$AN170&gt;=Paramètres!$B$16),"À REVOIR","NON RENTABLE")))))</f>
        <v/>
      </c>
      <c r="AQ170" s="18" t="str">
        <f aca="false">TRIM(IF(AND($Y170=1,ISNUMBER($N170)),IF($M170&lt;$N170,"MOQ ",""),"")&amp;IF(AND($Y170=1,ISNUMBER($O170)),IF($O170&lt;$I170*$M170,"DISPO ",""),"")&amp;IF($S170="O","FICTIF ","")&amp;IF($Y170=1,IF(AND($K170="TTC",$W170&lt;&gt;"CH"),"TVA-ÉTRANGÈRE ",""),""))</f>
        <v/>
      </c>
      <c r="AR170" s="18" t="str">
        <f aca="false">IF($Y170=1,COUNTIFS($A$6:$A$205,$A170,$AK$6:$AK$205,"&lt;"&amp;$AK170,$Y$6:$Y$205,1)+1,"")</f>
        <v/>
      </c>
      <c r="AS170" s="18" t="str">
        <f aca="false">IF(ISNUMBER($AR170),$A170&amp;"|"&amp;$AR170,"")</f>
        <v/>
      </c>
      <c r="AT170" s="27" t="str">
        <f aca="false">IF($Y170=1,$AK170*$I170*$M170,"")</f>
        <v/>
      </c>
    </row>
    <row r="171" customFormat="false" ht="15" hidden="false" customHeight="false" outlineLevel="0" collapsed="false">
      <c r="A171" s="9"/>
      <c r="B171" s="9"/>
      <c r="C171" s="9"/>
      <c r="D171" s="9"/>
      <c r="E171" s="9"/>
      <c r="F171" s="9"/>
      <c r="G171" s="9"/>
      <c r="H171" s="9"/>
      <c r="I171" s="9"/>
      <c r="J171" s="13"/>
      <c r="K171" s="9"/>
      <c r="L171" s="12"/>
      <c r="M171" s="9"/>
      <c r="N171" s="9"/>
      <c r="O171" s="9"/>
      <c r="P171" s="9"/>
      <c r="Q171" s="16"/>
      <c r="R171" s="13"/>
      <c r="S171" s="9"/>
      <c r="T171" s="18" t="str">
        <f aca="false">IF($C171="","",IFERROR(INDEX(Fournisseurs!$C$5:$C$24,MATCH($C171,Fournisseurs!$A$5:$A$24,0)),""))</f>
        <v/>
      </c>
      <c r="U171" s="25" t="str">
        <f aca="false">IF($C171="","",IFERROR(INDEX(Fournisseurs!$D$5:$D$24,MATCH($C171,Fournisseurs!$A$5:$A$24,0)),""))</f>
        <v/>
      </c>
      <c r="V171" s="26" t="str">
        <f aca="false">IF($C171="","",IFERROR(INDEX(Fournisseurs!$G$5:$G$24,MATCH($C171,Fournisseurs!$A$5:$A$24,0)),""))</f>
        <v/>
      </c>
      <c r="W171" s="18" t="str">
        <f aca="false">IF($C171="","",IFERROR(INDEX(Fournisseurs!$H$5:$H$24,MATCH($C171,Fournisseurs!$A$5:$A$24,0)),""))</f>
        <v/>
      </c>
      <c r="X171" s="18" t="str">
        <f aca="false">IF($C171="","",IFERROR(INDEX(Fournisseurs!$B$5:$B$24,MATCH($C171,Fournisseurs!$A$5:$A$24,0)),""))</f>
        <v/>
      </c>
      <c r="Y171" s="18" t="str">
        <f aca="false">IF($A171="","",IF(AND($A171&lt;&gt;"",$C171&lt;&gt;"",ISNUMBER($I171),ISNUMBER($J171),ISNUMBER($M171)),IF(AND($I171&gt;=1,$J171&gt;0,OR($K171="HT",$K171="TTC"),$M171&gt;=1,IFERROR(INDEX(Fournisseurs!$T$5:$T$24,MATCH($C171,Fournisseurs!$A$5:$A$24,0)),0)=1),1,0),0))</f>
        <v/>
      </c>
      <c r="Z171" s="27" t="str">
        <f aca="false">IF($Y171=1,$J171*(1-N($L171)),"")</f>
        <v/>
      </c>
      <c r="AA171" s="28" t="str">
        <f aca="false">IF($Y171=1,IF($K171="TTC",$Z171/(1+$V171),$Z171),"")</f>
        <v/>
      </c>
      <c r="AB171" s="28" t="str">
        <f aca="false">IF($Y171=1,IF($K171="TTC",$Z171-$AA171,$AA171*$V171),"")</f>
        <v/>
      </c>
      <c r="AC171" s="27" t="str">
        <f aca="false">IF($Y171=1,$AA171*$U171*$M171,"")</f>
        <v/>
      </c>
      <c r="AD171" s="26" t="str">
        <f aca="false">IF($Y171=1,$AC171/SUMIFS($AC$6:$AC$205,$C$6:$C$205,$C171,$Y$6:$Y$205,1),"")</f>
        <v/>
      </c>
      <c r="AE171" s="28" t="str">
        <f aca="false">IF($Y171=1,(INDEX(Fournisseurs!$J$5:$J$24,MATCH($C171,Fournisseurs!$A$5:$A$24,0))+INDEX(Fournisseurs!$K$5:$K$24,MATCH($C171,Fournisseurs!$A$5:$A$24,0)))*$U171*$AD171/($I171*$M171),"")</f>
        <v/>
      </c>
      <c r="AF171" s="28" t="str">
        <f aca="false">IF($Y171=1,INDEX(Fournisseurs!$L$5:$L$24,MATCH($C171,Fournisseurs!$A$5:$A$24,0))*$AD171/($I171*$M171),"")</f>
        <v/>
      </c>
      <c r="AG171" s="28" t="str">
        <f aca="false">IF($Y171=1,$AA171*$U171/$I171,"")</f>
        <v/>
      </c>
      <c r="AH171" s="28" t="str">
        <f aca="false">IF($Y171=1,$AB171*$U171/$I171,"")</f>
        <v/>
      </c>
      <c r="AI171" s="18" t="str">
        <f aca="false">IF($Y171=1,IF(AND(Paramètres!$B$4="EFFECTIVE",$W171="CH",$AB171&gt;0),1,0),"")</f>
        <v/>
      </c>
      <c r="AJ171" s="28" t="str">
        <f aca="false">IF($Y171=1,IF($X171&lt;&gt;"CH",($AG171+$AE171+$AF171)*Paramètres!$B$14,0),"")</f>
        <v/>
      </c>
      <c r="AK171" s="29" t="str">
        <f aca="false">IF($Y171=1,$AG171+IF($AI171=1,0,$AH171)+$AE171+$AF171+IF(Paramètres!$B$4="NOT_REGISTERED",$AJ171,0),"")</f>
        <v/>
      </c>
      <c r="AL171" s="27" t="str">
        <f aca="false">IF($Y171=1,($AK171+Paramètres!$B$7+Paramètres!$B$8+Paramètres!$B$9+Paramètres!$B$10)/((1-Paramètres!$B$11)/(1+Paramètres!$B$5)-Paramètres!$B$6),"")</f>
        <v/>
      </c>
      <c r="AM171" s="26" t="str">
        <f aca="false">IF(AND($Y171=1,ISNUMBER($R171)),IF($R171&gt;0,$AL171/$R171-1,""),"")</f>
        <v/>
      </c>
      <c r="AN171" s="27" t="str">
        <f aca="false">IF(AND($Y171=1,ISNUMBER($R171)),IF($R171&gt;0,$R171/(1+Paramètres!$B$5)-$AK171-($R171*Paramètres!$B$6+Paramètres!$B$7)-Paramètres!$B$8-Paramètres!$B$9-Paramètres!$B$10,""),"")</f>
        <v/>
      </c>
      <c r="AO171" s="26" t="str">
        <f aca="false">IF(ISNUMBER($AN171),$AN171/($R171/(1+Paramètres!$B$5)),"")</f>
        <v/>
      </c>
      <c r="AP171" s="30" t="str">
        <f aca="false">IF($A171="","",IF($Y171&lt;&gt;1,"INCOMPLET",IF(NOT(ISNUMBER($AM171)),"SANS RÉF. MARCHÉ",IF($AM171&lt;=Paramètres!$B$12,"OK",IF(AND($AO171&gt;=Paramètres!$B$15,$AN171&gt;=Paramètres!$B$16),"À REVOIR","NON RENTABLE")))))</f>
        <v/>
      </c>
      <c r="AQ171" s="18" t="str">
        <f aca="false">TRIM(IF(AND($Y171=1,ISNUMBER($N171)),IF($M171&lt;$N171,"MOQ ",""),"")&amp;IF(AND($Y171=1,ISNUMBER($O171)),IF($O171&lt;$I171*$M171,"DISPO ",""),"")&amp;IF($S171="O","FICTIF ","")&amp;IF($Y171=1,IF(AND($K171="TTC",$W171&lt;&gt;"CH"),"TVA-ÉTRANGÈRE ",""),""))</f>
        <v/>
      </c>
      <c r="AR171" s="18" t="str">
        <f aca="false">IF($Y171=1,COUNTIFS($A$6:$A$205,$A171,$AK$6:$AK$205,"&lt;"&amp;$AK171,$Y$6:$Y$205,1)+1,"")</f>
        <v/>
      </c>
      <c r="AS171" s="18" t="str">
        <f aca="false">IF(ISNUMBER($AR171),$A171&amp;"|"&amp;$AR171,"")</f>
        <v/>
      </c>
      <c r="AT171" s="27" t="str">
        <f aca="false">IF($Y171=1,$AK171*$I171*$M171,"")</f>
        <v/>
      </c>
    </row>
    <row r="172" customFormat="false" ht="15" hidden="false" customHeight="false" outlineLevel="0" collapsed="false">
      <c r="A172" s="9"/>
      <c r="B172" s="9"/>
      <c r="C172" s="9"/>
      <c r="D172" s="9"/>
      <c r="E172" s="9"/>
      <c r="F172" s="9"/>
      <c r="G172" s="9"/>
      <c r="H172" s="9"/>
      <c r="I172" s="9"/>
      <c r="J172" s="13"/>
      <c r="K172" s="9"/>
      <c r="L172" s="12"/>
      <c r="M172" s="9"/>
      <c r="N172" s="9"/>
      <c r="O172" s="9"/>
      <c r="P172" s="9"/>
      <c r="Q172" s="16"/>
      <c r="R172" s="13"/>
      <c r="S172" s="9"/>
      <c r="T172" s="18" t="str">
        <f aca="false">IF($C172="","",IFERROR(INDEX(Fournisseurs!$C$5:$C$24,MATCH($C172,Fournisseurs!$A$5:$A$24,0)),""))</f>
        <v/>
      </c>
      <c r="U172" s="25" t="str">
        <f aca="false">IF($C172="","",IFERROR(INDEX(Fournisseurs!$D$5:$D$24,MATCH($C172,Fournisseurs!$A$5:$A$24,0)),""))</f>
        <v/>
      </c>
      <c r="V172" s="26" t="str">
        <f aca="false">IF($C172="","",IFERROR(INDEX(Fournisseurs!$G$5:$G$24,MATCH($C172,Fournisseurs!$A$5:$A$24,0)),""))</f>
        <v/>
      </c>
      <c r="W172" s="18" t="str">
        <f aca="false">IF($C172="","",IFERROR(INDEX(Fournisseurs!$H$5:$H$24,MATCH($C172,Fournisseurs!$A$5:$A$24,0)),""))</f>
        <v/>
      </c>
      <c r="X172" s="18" t="str">
        <f aca="false">IF($C172="","",IFERROR(INDEX(Fournisseurs!$B$5:$B$24,MATCH($C172,Fournisseurs!$A$5:$A$24,0)),""))</f>
        <v/>
      </c>
      <c r="Y172" s="18" t="str">
        <f aca="false">IF($A172="","",IF(AND($A172&lt;&gt;"",$C172&lt;&gt;"",ISNUMBER($I172),ISNUMBER($J172),ISNUMBER($M172)),IF(AND($I172&gt;=1,$J172&gt;0,OR($K172="HT",$K172="TTC"),$M172&gt;=1,IFERROR(INDEX(Fournisseurs!$T$5:$T$24,MATCH($C172,Fournisseurs!$A$5:$A$24,0)),0)=1),1,0),0))</f>
        <v/>
      </c>
      <c r="Z172" s="27" t="str">
        <f aca="false">IF($Y172=1,$J172*(1-N($L172)),"")</f>
        <v/>
      </c>
      <c r="AA172" s="28" t="str">
        <f aca="false">IF($Y172=1,IF($K172="TTC",$Z172/(1+$V172),$Z172),"")</f>
        <v/>
      </c>
      <c r="AB172" s="28" t="str">
        <f aca="false">IF($Y172=1,IF($K172="TTC",$Z172-$AA172,$AA172*$V172),"")</f>
        <v/>
      </c>
      <c r="AC172" s="27" t="str">
        <f aca="false">IF($Y172=1,$AA172*$U172*$M172,"")</f>
        <v/>
      </c>
      <c r="AD172" s="26" t="str">
        <f aca="false">IF($Y172=1,$AC172/SUMIFS($AC$6:$AC$205,$C$6:$C$205,$C172,$Y$6:$Y$205,1),"")</f>
        <v/>
      </c>
      <c r="AE172" s="28" t="str">
        <f aca="false">IF($Y172=1,(INDEX(Fournisseurs!$J$5:$J$24,MATCH($C172,Fournisseurs!$A$5:$A$24,0))+INDEX(Fournisseurs!$K$5:$K$24,MATCH($C172,Fournisseurs!$A$5:$A$24,0)))*$U172*$AD172/($I172*$M172),"")</f>
        <v/>
      </c>
      <c r="AF172" s="28" t="str">
        <f aca="false">IF($Y172=1,INDEX(Fournisseurs!$L$5:$L$24,MATCH($C172,Fournisseurs!$A$5:$A$24,0))*$AD172/($I172*$M172),"")</f>
        <v/>
      </c>
      <c r="AG172" s="28" t="str">
        <f aca="false">IF($Y172=1,$AA172*$U172/$I172,"")</f>
        <v/>
      </c>
      <c r="AH172" s="28" t="str">
        <f aca="false">IF($Y172=1,$AB172*$U172/$I172,"")</f>
        <v/>
      </c>
      <c r="AI172" s="18" t="str">
        <f aca="false">IF($Y172=1,IF(AND(Paramètres!$B$4="EFFECTIVE",$W172="CH",$AB172&gt;0),1,0),"")</f>
        <v/>
      </c>
      <c r="AJ172" s="28" t="str">
        <f aca="false">IF($Y172=1,IF($X172&lt;&gt;"CH",($AG172+$AE172+$AF172)*Paramètres!$B$14,0),"")</f>
        <v/>
      </c>
      <c r="AK172" s="29" t="str">
        <f aca="false">IF($Y172=1,$AG172+IF($AI172=1,0,$AH172)+$AE172+$AF172+IF(Paramètres!$B$4="NOT_REGISTERED",$AJ172,0),"")</f>
        <v/>
      </c>
      <c r="AL172" s="27" t="str">
        <f aca="false">IF($Y172=1,($AK172+Paramètres!$B$7+Paramètres!$B$8+Paramètres!$B$9+Paramètres!$B$10)/((1-Paramètres!$B$11)/(1+Paramètres!$B$5)-Paramètres!$B$6),"")</f>
        <v/>
      </c>
      <c r="AM172" s="26" t="str">
        <f aca="false">IF(AND($Y172=1,ISNUMBER($R172)),IF($R172&gt;0,$AL172/$R172-1,""),"")</f>
        <v/>
      </c>
      <c r="AN172" s="27" t="str">
        <f aca="false">IF(AND($Y172=1,ISNUMBER($R172)),IF($R172&gt;0,$R172/(1+Paramètres!$B$5)-$AK172-($R172*Paramètres!$B$6+Paramètres!$B$7)-Paramètres!$B$8-Paramètres!$B$9-Paramètres!$B$10,""),"")</f>
        <v/>
      </c>
      <c r="AO172" s="26" t="str">
        <f aca="false">IF(ISNUMBER($AN172),$AN172/($R172/(1+Paramètres!$B$5)),"")</f>
        <v/>
      </c>
      <c r="AP172" s="30" t="str">
        <f aca="false">IF($A172="","",IF($Y172&lt;&gt;1,"INCOMPLET",IF(NOT(ISNUMBER($AM172)),"SANS RÉF. MARCHÉ",IF($AM172&lt;=Paramètres!$B$12,"OK",IF(AND($AO172&gt;=Paramètres!$B$15,$AN172&gt;=Paramètres!$B$16),"À REVOIR","NON RENTABLE")))))</f>
        <v/>
      </c>
      <c r="AQ172" s="18" t="str">
        <f aca="false">TRIM(IF(AND($Y172=1,ISNUMBER($N172)),IF($M172&lt;$N172,"MOQ ",""),"")&amp;IF(AND($Y172=1,ISNUMBER($O172)),IF($O172&lt;$I172*$M172,"DISPO ",""),"")&amp;IF($S172="O","FICTIF ","")&amp;IF($Y172=1,IF(AND($K172="TTC",$W172&lt;&gt;"CH"),"TVA-ÉTRANGÈRE ",""),""))</f>
        <v/>
      </c>
      <c r="AR172" s="18" t="str">
        <f aca="false">IF($Y172=1,COUNTIFS($A$6:$A$205,$A172,$AK$6:$AK$205,"&lt;"&amp;$AK172,$Y$6:$Y$205,1)+1,"")</f>
        <v/>
      </c>
      <c r="AS172" s="18" t="str">
        <f aca="false">IF(ISNUMBER($AR172),$A172&amp;"|"&amp;$AR172,"")</f>
        <v/>
      </c>
      <c r="AT172" s="27" t="str">
        <f aca="false">IF($Y172=1,$AK172*$I172*$M172,"")</f>
        <v/>
      </c>
    </row>
    <row r="173" customFormat="false" ht="15" hidden="false" customHeight="false" outlineLevel="0" collapsed="false">
      <c r="A173" s="9"/>
      <c r="B173" s="9"/>
      <c r="C173" s="9"/>
      <c r="D173" s="9"/>
      <c r="E173" s="9"/>
      <c r="F173" s="9"/>
      <c r="G173" s="9"/>
      <c r="H173" s="9"/>
      <c r="I173" s="9"/>
      <c r="J173" s="13"/>
      <c r="K173" s="9"/>
      <c r="L173" s="12"/>
      <c r="M173" s="9"/>
      <c r="N173" s="9"/>
      <c r="O173" s="9"/>
      <c r="P173" s="9"/>
      <c r="Q173" s="16"/>
      <c r="R173" s="13"/>
      <c r="S173" s="9"/>
      <c r="T173" s="18" t="str">
        <f aca="false">IF($C173="","",IFERROR(INDEX(Fournisseurs!$C$5:$C$24,MATCH($C173,Fournisseurs!$A$5:$A$24,0)),""))</f>
        <v/>
      </c>
      <c r="U173" s="25" t="str">
        <f aca="false">IF($C173="","",IFERROR(INDEX(Fournisseurs!$D$5:$D$24,MATCH($C173,Fournisseurs!$A$5:$A$24,0)),""))</f>
        <v/>
      </c>
      <c r="V173" s="26" t="str">
        <f aca="false">IF($C173="","",IFERROR(INDEX(Fournisseurs!$G$5:$G$24,MATCH($C173,Fournisseurs!$A$5:$A$24,0)),""))</f>
        <v/>
      </c>
      <c r="W173" s="18" t="str">
        <f aca="false">IF($C173="","",IFERROR(INDEX(Fournisseurs!$H$5:$H$24,MATCH($C173,Fournisseurs!$A$5:$A$24,0)),""))</f>
        <v/>
      </c>
      <c r="X173" s="18" t="str">
        <f aca="false">IF($C173="","",IFERROR(INDEX(Fournisseurs!$B$5:$B$24,MATCH($C173,Fournisseurs!$A$5:$A$24,0)),""))</f>
        <v/>
      </c>
      <c r="Y173" s="18" t="str">
        <f aca="false">IF($A173="","",IF(AND($A173&lt;&gt;"",$C173&lt;&gt;"",ISNUMBER($I173),ISNUMBER($J173),ISNUMBER($M173)),IF(AND($I173&gt;=1,$J173&gt;0,OR($K173="HT",$K173="TTC"),$M173&gt;=1,IFERROR(INDEX(Fournisseurs!$T$5:$T$24,MATCH($C173,Fournisseurs!$A$5:$A$24,0)),0)=1),1,0),0))</f>
        <v/>
      </c>
      <c r="Z173" s="27" t="str">
        <f aca="false">IF($Y173=1,$J173*(1-N($L173)),"")</f>
        <v/>
      </c>
      <c r="AA173" s="28" t="str">
        <f aca="false">IF($Y173=1,IF($K173="TTC",$Z173/(1+$V173),$Z173),"")</f>
        <v/>
      </c>
      <c r="AB173" s="28" t="str">
        <f aca="false">IF($Y173=1,IF($K173="TTC",$Z173-$AA173,$AA173*$V173),"")</f>
        <v/>
      </c>
      <c r="AC173" s="27" t="str">
        <f aca="false">IF($Y173=1,$AA173*$U173*$M173,"")</f>
        <v/>
      </c>
      <c r="AD173" s="26" t="str">
        <f aca="false">IF($Y173=1,$AC173/SUMIFS($AC$6:$AC$205,$C$6:$C$205,$C173,$Y$6:$Y$205,1),"")</f>
        <v/>
      </c>
      <c r="AE173" s="28" t="str">
        <f aca="false">IF($Y173=1,(INDEX(Fournisseurs!$J$5:$J$24,MATCH($C173,Fournisseurs!$A$5:$A$24,0))+INDEX(Fournisseurs!$K$5:$K$24,MATCH($C173,Fournisseurs!$A$5:$A$24,0)))*$U173*$AD173/($I173*$M173),"")</f>
        <v/>
      </c>
      <c r="AF173" s="28" t="str">
        <f aca="false">IF($Y173=1,INDEX(Fournisseurs!$L$5:$L$24,MATCH($C173,Fournisseurs!$A$5:$A$24,0))*$AD173/($I173*$M173),"")</f>
        <v/>
      </c>
      <c r="AG173" s="28" t="str">
        <f aca="false">IF($Y173=1,$AA173*$U173/$I173,"")</f>
        <v/>
      </c>
      <c r="AH173" s="28" t="str">
        <f aca="false">IF($Y173=1,$AB173*$U173/$I173,"")</f>
        <v/>
      </c>
      <c r="AI173" s="18" t="str">
        <f aca="false">IF($Y173=1,IF(AND(Paramètres!$B$4="EFFECTIVE",$W173="CH",$AB173&gt;0),1,0),"")</f>
        <v/>
      </c>
      <c r="AJ173" s="28" t="str">
        <f aca="false">IF($Y173=1,IF($X173&lt;&gt;"CH",($AG173+$AE173+$AF173)*Paramètres!$B$14,0),"")</f>
        <v/>
      </c>
      <c r="AK173" s="29" t="str">
        <f aca="false">IF($Y173=1,$AG173+IF($AI173=1,0,$AH173)+$AE173+$AF173+IF(Paramètres!$B$4="NOT_REGISTERED",$AJ173,0),"")</f>
        <v/>
      </c>
      <c r="AL173" s="27" t="str">
        <f aca="false">IF($Y173=1,($AK173+Paramètres!$B$7+Paramètres!$B$8+Paramètres!$B$9+Paramètres!$B$10)/((1-Paramètres!$B$11)/(1+Paramètres!$B$5)-Paramètres!$B$6),"")</f>
        <v/>
      </c>
      <c r="AM173" s="26" t="str">
        <f aca="false">IF(AND($Y173=1,ISNUMBER($R173)),IF($R173&gt;0,$AL173/$R173-1,""),"")</f>
        <v/>
      </c>
      <c r="AN173" s="27" t="str">
        <f aca="false">IF(AND($Y173=1,ISNUMBER($R173)),IF($R173&gt;0,$R173/(1+Paramètres!$B$5)-$AK173-($R173*Paramètres!$B$6+Paramètres!$B$7)-Paramètres!$B$8-Paramètres!$B$9-Paramètres!$B$10,""),"")</f>
        <v/>
      </c>
      <c r="AO173" s="26" t="str">
        <f aca="false">IF(ISNUMBER($AN173),$AN173/($R173/(1+Paramètres!$B$5)),"")</f>
        <v/>
      </c>
      <c r="AP173" s="30" t="str">
        <f aca="false">IF($A173="","",IF($Y173&lt;&gt;1,"INCOMPLET",IF(NOT(ISNUMBER($AM173)),"SANS RÉF. MARCHÉ",IF($AM173&lt;=Paramètres!$B$12,"OK",IF(AND($AO173&gt;=Paramètres!$B$15,$AN173&gt;=Paramètres!$B$16),"À REVOIR","NON RENTABLE")))))</f>
        <v/>
      </c>
      <c r="AQ173" s="18" t="str">
        <f aca="false">TRIM(IF(AND($Y173=1,ISNUMBER($N173)),IF($M173&lt;$N173,"MOQ ",""),"")&amp;IF(AND($Y173=1,ISNUMBER($O173)),IF($O173&lt;$I173*$M173,"DISPO ",""),"")&amp;IF($S173="O","FICTIF ","")&amp;IF($Y173=1,IF(AND($K173="TTC",$W173&lt;&gt;"CH"),"TVA-ÉTRANGÈRE ",""),""))</f>
        <v/>
      </c>
      <c r="AR173" s="18" t="str">
        <f aca="false">IF($Y173=1,COUNTIFS($A$6:$A$205,$A173,$AK$6:$AK$205,"&lt;"&amp;$AK173,$Y$6:$Y$205,1)+1,"")</f>
        <v/>
      </c>
      <c r="AS173" s="18" t="str">
        <f aca="false">IF(ISNUMBER($AR173),$A173&amp;"|"&amp;$AR173,"")</f>
        <v/>
      </c>
      <c r="AT173" s="27" t="str">
        <f aca="false">IF($Y173=1,$AK173*$I173*$M173,"")</f>
        <v/>
      </c>
    </row>
    <row r="174" customFormat="false" ht="15" hidden="false" customHeight="false" outlineLevel="0" collapsed="false">
      <c r="A174" s="9"/>
      <c r="B174" s="9"/>
      <c r="C174" s="9"/>
      <c r="D174" s="9"/>
      <c r="E174" s="9"/>
      <c r="F174" s="9"/>
      <c r="G174" s="9"/>
      <c r="H174" s="9"/>
      <c r="I174" s="9"/>
      <c r="J174" s="13"/>
      <c r="K174" s="9"/>
      <c r="L174" s="12"/>
      <c r="M174" s="9"/>
      <c r="N174" s="9"/>
      <c r="O174" s="9"/>
      <c r="P174" s="9"/>
      <c r="Q174" s="16"/>
      <c r="R174" s="13"/>
      <c r="S174" s="9"/>
      <c r="T174" s="18" t="str">
        <f aca="false">IF($C174="","",IFERROR(INDEX(Fournisseurs!$C$5:$C$24,MATCH($C174,Fournisseurs!$A$5:$A$24,0)),""))</f>
        <v/>
      </c>
      <c r="U174" s="25" t="str">
        <f aca="false">IF($C174="","",IFERROR(INDEX(Fournisseurs!$D$5:$D$24,MATCH($C174,Fournisseurs!$A$5:$A$24,0)),""))</f>
        <v/>
      </c>
      <c r="V174" s="26" t="str">
        <f aca="false">IF($C174="","",IFERROR(INDEX(Fournisseurs!$G$5:$G$24,MATCH($C174,Fournisseurs!$A$5:$A$24,0)),""))</f>
        <v/>
      </c>
      <c r="W174" s="18" t="str">
        <f aca="false">IF($C174="","",IFERROR(INDEX(Fournisseurs!$H$5:$H$24,MATCH($C174,Fournisseurs!$A$5:$A$24,0)),""))</f>
        <v/>
      </c>
      <c r="X174" s="18" t="str">
        <f aca="false">IF($C174="","",IFERROR(INDEX(Fournisseurs!$B$5:$B$24,MATCH($C174,Fournisseurs!$A$5:$A$24,0)),""))</f>
        <v/>
      </c>
      <c r="Y174" s="18" t="str">
        <f aca="false">IF($A174="","",IF(AND($A174&lt;&gt;"",$C174&lt;&gt;"",ISNUMBER($I174),ISNUMBER($J174),ISNUMBER($M174)),IF(AND($I174&gt;=1,$J174&gt;0,OR($K174="HT",$K174="TTC"),$M174&gt;=1,IFERROR(INDEX(Fournisseurs!$T$5:$T$24,MATCH($C174,Fournisseurs!$A$5:$A$24,0)),0)=1),1,0),0))</f>
        <v/>
      </c>
      <c r="Z174" s="27" t="str">
        <f aca="false">IF($Y174=1,$J174*(1-N($L174)),"")</f>
        <v/>
      </c>
      <c r="AA174" s="28" t="str">
        <f aca="false">IF($Y174=1,IF($K174="TTC",$Z174/(1+$V174),$Z174),"")</f>
        <v/>
      </c>
      <c r="AB174" s="28" t="str">
        <f aca="false">IF($Y174=1,IF($K174="TTC",$Z174-$AA174,$AA174*$V174),"")</f>
        <v/>
      </c>
      <c r="AC174" s="27" t="str">
        <f aca="false">IF($Y174=1,$AA174*$U174*$M174,"")</f>
        <v/>
      </c>
      <c r="AD174" s="26" t="str">
        <f aca="false">IF($Y174=1,$AC174/SUMIFS($AC$6:$AC$205,$C$6:$C$205,$C174,$Y$6:$Y$205,1),"")</f>
        <v/>
      </c>
      <c r="AE174" s="28" t="str">
        <f aca="false">IF($Y174=1,(INDEX(Fournisseurs!$J$5:$J$24,MATCH($C174,Fournisseurs!$A$5:$A$24,0))+INDEX(Fournisseurs!$K$5:$K$24,MATCH($C174,Fournisseurs!$A$5:$A$24,0)))*$U174*$AD174/($I174*$M174),"")</f>
        <v/>
      </c>
      <c r="AF174" s="28" t="str">
        <f aca="false">IF($Y174=1,INDEX(Fournisseurs!$L$5:$L$24,MATCH($C174,Fournisseurs!$A$5:$A$24,0))*$AD174/($I174*$M174),"")</f>
        <v/>
      </c>
      <c r="AG174" s="28" t="str">
        <f aca="false">IF($Y174=1,$AA174*$U174/$I174,"")</f>
        <v/>
      </c>
      <c r="AH174" s="28" t="str">
        <f aca="false">IF($Y174=1,$AB174*$U174/$I174,"")</f>
        <v/>
      </c>
      <c r="AI174" s="18" t="str">
        <f aca="false">IF($Y174=1,IF(AND(Paramètres!$B$4="EFFECTIVE",$W174="CH",$AB174&gt;0),1,0),"")</f>
        <v/>
      </c>
      <c r="AJ174" s="28" t="str">
        <f aca="false">IF($Y174=1,IF($X174&lt;&gt;"CH",($AG174+$AE174+$AF174)*Paramètres!$B$14,0),"")</f>
        <v/>
      </c>
      <c r="AK174" s="29" t="str">
        <f aca="false">IF($Y174=1,$AG174+IF($AI174=1,0,$AH174)+$AE174+$AF174+IF(Paramètres!$B$4="NOT_REGISTERED",$AJ174,0),"")</f>
        <v/>
      </c>
      <c r="AL174" s="27" t="str">
        <f aca="false">IF($Y174=1,($AK174+Paramètres!$B$7+Paramètres!$B$8+Paramètres!$B$9+Paramètres!$B$10)/((1-Paramètres!$B$11)/(1+Paramètres!$B$5)-Paramètres!$B$6),"")</f>
        <v/>
      </c>
      <c r="AM174" s="26" t="str">
        <f aca="false">IF(AND($Y174=1,ISNUMBER($R174)),IF($R174&gt;0,$AL174/$R174-1,""),"")</f>
        <v/>
      </c>
      <c r="AN174" s="27" t="str">
        <f aca="false">IF(AND($Y174=1,ISNUMBER($R174)),IF($R174&gt;0,$R174/(1+Paramètres!$B$5)-$AK174-($R174*Paramètres!$B$6+Paramètres!$B$7)-Paramètres!$B$8-Paramètres!$B$9-Paramètres!$B$10,""),"")</f>
        <v/>
      </c>
      <c r="AO174" s="26" t="str">
        <f aca="false">IF(ISNUMBER($AN174),$AN174/($R174/(1+Paramètres!$B$5)),"")</f>
        <v/>
      </c>
      <c r="AP174" s="30" t="str">
        <f aca="false">IF($A174="","",IF($Y174&lt;&gt;1,"INCOMPLET",IF(NOT(ISNUMBER($AM174)),"SANS RÉF. MARCHÉ",IF($AM174&lt;=Paramètres!$B$12,"OK",IF(AND($AO174&gt;=Paramètres!$B$15,$AN174&gt;=Paramètres!$B$16),"À REVOIR","NON RENTABLE")))))</f>
        <v/>
      </c>
      <c r="AQ174" s="18" t="str">
        <f aca="false">TRIM(IF(AND($Y174=1,ISNUMBER($N174)),IF($M174&lt;$N174,"MOQ ",""),"")&amp;IF(AND($Y174=1,ISNUMBER($O174)),IF($O174&lt;$I174*$M174,"DISPO ",""),"")&amp;IF($S174="O","FICTIF ","")&amp;IF($Y174=1,IF(AND($K174="TTC",$W174&lt;&gt;"CH"),"TVA-ÉTRANGÈRE ",""),""))</f>
        <v/>
      </c>
      <c r="AR174" s="18" t="str">
        <f aca="false">IF($Y174=1,COUNTIFS($A$6:$A$205,$A174,$AK$6:$AK$205,"&lt;"&amp;$AK174,$Y$6:$Y$205,1)+1,"")</f>
        <v/>
      </c>
      <c r="AS174" s="18" t="str">
        <f aca="false">IF(ISNUMBER($AR174),$A174&amp;"|"&amp;$AR174,"")</f>
        <v/>
      </c>
      <c r="AT174" s="27" t="str">
        <f aca="false">IF($Y174=1,$AK174*$I174*$M174,"")</f>
        <v/>
      </c>
    </row>
    <row r="175" customFormat="false" ht="15" hidden="false" customHeight="false" outlineLevel="0" collapsed="false">
      <c r="A175" s="9"/>
      <c r="B175" s="9"/>
      <c r="C175" s="9"/>
      <c r="D175" s="9"/>
      <c r="E175" s="9"/>
      <c r="F175" s="9"/>
      <c r="G175" s="9"/>
      <c r="H175" s="9"/>
      <c r="I175" s="9"/>
      <c r="J175" s="13"/>
      <c r="K175" s="9"/>
      <c r="L175" s="12"/>
      <c r="M175" s="9"/>
      <c r="N175" s="9"/>
      <c r="O175" s="9"/>
      <c r="P175" s="9"/>
      <c r="Q175" s="16"/>
      <c r="R175" s="13"/>
      <c r="S175" s="9"/>
      <c r="T175" s="18" t="str">
        <f aca="false">IF($C175="","",IFERROR(INDEX(Fournisseurs!$C$5:$C$24,MATCH($C175,Fournisseurs!$A$5:$A$24,0)),""))</f>
        <v/>
      </c>
      <c r="U175" s="25" t="str">
        <f aca="false">IF($C175="","",IFERROR(INDEX(Fournisseurs!$D$5:$D$24,MATCH($C175,Fournisseurs!$A$5:$A$24,0)),""))</f>
        <v/>
      </c>
      <c r="V175" s="26" t="str">
        <f aca="false">IF($C175="","",IFERROR(INDEX(Fournisseurs!$G$5:$G$24,MATCH($C175,Fournisseurs!$A$5:$A$24,0)),""))</f>
        <v/>
      </c>
      <c r="W175" s="18" t="str">
        <f aca="false">IF($C175="","",IFERROR(INDEX(Fournisseurs!$H$5:$H$24,MATCH($C175,Fournisseurs!$A$5:$A$24,0)),""))</f>
        <v/>
      </c>
      <c r="X175" s="18" t="str">
        <f aca="false">IF($C175="","",IFERROR(INDEX(Fournisseurs!$B$5:$B$24,MATCH($C175,Fournisseurs!$A$5:$A$24,0)),""))</f>
        <v/>
      </c>
      <c r="Y175" s="18" t="str">
        <f aca="false">IF($A175="","",IF(AND($A175&lt;&gt;"",$C175&lt;&gt;"",ISNUMBER($I175),ISNUMBER($J175),ISNUMBER($M175)),IF(AND($I175&gt;=1,$J175&gt;0,OR($K175="HT",$K175="TTC"),$M175&gt;=1,IFERROR(INDEX(Fournisseurs!$T$5:$T$24,MATCH($C175,Fournisseurs!$A$5:$A$24,0)),0)=1),1,0),0))</f>
        <v/>
      </c>
      <c r="Z175" s="27" t="str">
        <f aca="false">IF($Y175=1,$J175*(1-N($L175)),"")</f>
        <v/>
      </c>
      <c r="AA175" s="28" t="str">
        <f aca="false">IF($Y175=1,IF($K175="TTC",$Z175/(1+$V175),$Z175),"")</f>
        <v/>
      </c>
      <c r="AB175" s="28" t="str">
        <f aca="false">IF($Y175=1,IF($K175="TTC",$Z175-$AA175,$AA175*$V175),"")</f>
        <v/>
      </c>
      <c r="AC175" s="27" t="str">
        <f aca="false">IF($Y175=1,$AA175*$U175*$M175,"")</f>
        <v/>
      </c>
      <c r="AD175" s="26" t="str">
        <f aca="false">IF($Y175=1,$AC175/SUMIFS($AC$6:$AC$205,$C$6:$C$205,$C175,$Y$6:$Y$205,1),"")</f>
        <v/>
      </c>
      <c r="AE175" s="28" t="str">
        <f aca="false">IF($Y175=1,(INDEX(Fournisseurs!$J$5:$J$24,MATCH($C175,Fournisseurs!$A$5:$A$24,0))+INDEX(Fournisseurs!$K$5:$K$24,MATCH($C175,Fournisseurs!$A$5:$A$24,0)))*$U175*$AD175/($I175*$M175),"")</f>
        <v/>
      </c>
      <c r="AF175" s="28" t="str">
        <f aca="false">IF($Y175=1,INDEX(Fournisseurs!$L$5:$L$24,MATCH($C175,Fournisseurs!$A$5:$A$24,0))*$AD175/($I175*$M175),"")</f>
        <v/>
      </c>
      <c r="AG175" s="28" t="str">
        <f aca="false">IF($Y175=1,$AA175*$U175/$I175,"")</f>
        <v/>
      </c>
      <c r="AH175" s="28" t="str">
        <f aca="false">IF($Y175=1,$AB175*$U175/$I175,"")</f>
        <v/>
      </c>
      <c r="AI175" s="18" t="str">
        <f aca="false">IF($Y175=1,IF(AND(Paramètres!$B$4="EFFECTIVE",$W175="CH",$AB175&gt;0),1,0),"")</f>
        <v/>
      </c>
      <c r="AJ175" s="28" t="str">
        <f aca="false">IF($Y175=1,IF($X175&lt;&gt;"CH",($AG175+$AE175+$AF175)*Paramètres!$B$14,0),"")</f>
        <v/>
      </c>
      <c r="AK175" s="29" t="str">
        <f aca="false">IF($Y175=1,$AG175+IF($AI175=1,0,$AH175)+$AE175+$AF175+IF(Paramètres!$B$4="NOT_REGISTERED",$AJ175,0),"")</f>
        <v/>
      </c>
      <c r="AL175" s="27" t="str">
        <f aca="false">IF($Y175=1,($AK175+Paramètres!$B$7+Paramètres!$B$8+Paramètres!$B$9+Paramètres!$B$10)/((1-Paramètres!$B$11)/(1+Paramètres!$B$5)-Paramètres!$B$6),"")</f>
        <v/>
      </c>
      <c r="AM175" s="26" t="str">
        <f aca="false">IF(AND($Y175=1,ISNUMBER($R175)),IF($R175&gt;0,$AL175/$R175-1,""),"")</f>
        <v/>
      </c>
      <c r="AN175" s="27" t="str">
        <f aca="false">IF(AND($Y175=1,ISNUMBER($R175)),IF($R175&gt;0,$R175/(1+Paramètres!$B$5)-$AK175-($R175*Paramètres!$B$6+Paramètres!$B$7)-Paramètres!$B$8-Paramètres!$B$9-Paramètres!$B$10,""),"")</f>
        <v/>
      </c>
      <c r="AO175" s="26" t="str">
        <f aca="false">IF(ISNUMBER($AN175),$AN175/($R175/(1+Paramètres!$B$5)),"")</f>
        <v/>
      </c>
      <c r="AP175" s="30" t="str">
        <f aca="false">IF($A175="","",IF($Y175&lt;&gt;1,"INCOMPLET",IF(NOT(ISNUMBER($AM175)),"SANS RÉF. MARCHÉ",IF($AM175&lt;=Paramètres!$B$12,"OK",IF(AND($AO175&gt;=Paramètres!$B$15,$AN175&gt;=Paramètres!$B$16),"À REVOIR","NON RENTABLE")))))</f>
        <v/>
      </c>
      <c r="AQ175" s="18" t="str">
        <f aca="false">TRIM(IF(AND($Y175=1,ISNUMBER($N175)),IF($M175&lt;$N175,"MOQ ",""),"")&amp;IF(AND($Y175=1,ISNUMBER($O175)),IF($O175&lt;$I175*$M175,"DISPO ",""),"")&amp;IF($S175="O","FICTIF ","")&amp;IF($Y175=1,IF(AND($K175="TTC",$W175&lt;&gt;"CH"),"TVA-ÉTRANGÈRE ",""),""))</f>
        <v/>
      </c>
      <c r="AR175" s="18" t="str">
        <f aca="false">IF($Y175=1,COUNTIFS($A$6:$A$205,$A175,$AK$6:$AK$205,"&lt;"&amp;$AK175,$Y$6:$Y$205,1)+1,"")</f>
        <v/>
      </c>
      <c r="AS175" s="18" t="str">
        <f aca="false">IF(ISNUMBER($AR175),$A175&amp;"|"&amp;$AR175,"")</f>
        <v/>
      </c>
      <c r="AT175" s="27" t="str">
        <f aca="false">IF($Y175=1,$AK175*$I175*$M175,"")</f>
        <v/>
      </c>
    </row>
    <row r="176" customFormat="false" ht="15" hidden="false" customHeight="false" outlineLevel="0" collapsed="false">
      <c r="A176" s="9"/>
      <c r="B176" s="9"/>
      <c r="C176" s="9"/>
      <c r="D176" s="9"/>
      <c r="E176" s="9"/>
      <c r="F176" s="9"/>
      <c r="G176" s="9"/>
      <c r="H176" s="9"/>
      <c r="I176" s="9"/>
      <c r="J176" s="13"/>
      <c r="K176" s="9"/>
      <c r="L176" s="12"/>
      <c r="M176" s="9"/>
      <c r="N176" s="9"/>
      <c r="O176" s="9"/>
      <c r="P176" s="9"/>
      <c r="Q176" s="16"/>
      <c r="R176" s="13"/>
      <c r="S176" s="9"/>
      <c r="T176" s="18" t="str">
        <f aca="false">IF($C176="","",IFERROR(INDEX(Fournisseurs!$C$5:$C$24,MATCH($C176,Fournisseurs!$A$5:$A$24,0)),""))</f>
        <v/>
      </c>
      <c r="U176" s="25" t="str">
        <f aca="false">IF($C176="","",IFERROR(INDEX(Fournisseurs!$D$5:$D$24,MATCH($C176,Fournisseurs!$A$5:$A$24,0)),""))</f>
        <v/>
      </c>
      <c r="V176" s="26" t="str">
        <f aca="false">IF($C176="","",IFERROR(INDEX(Fournisseurs!$G$5:$G$24,MATCH($C176,Fournisseurs!$A$5:$A$24,0)),""))</f>
        <v/>
      </c>
      <c r="W176" s="18" t="str">
        <f aca="false">IF($C176="","",IFERROR(INDEX(Fournisseurs!$H$5:$H$24,MATCH($C176,Fournisseurs!$A$5:$A$24,0)),""))</f>
        <v/>
      </c>
      <c r="X176" s="18" t="str">
        <f aca="false">IF($C176="","",IFERROR(INDEX(Fournisseurs!$B$5:$B$24,MATCH($C176,Fournisseurs!$A$5:$A$24,0)),""))</f>
        <v/>
      </c>
      <c r="Y176" s="18" t="str">
        <f aca="false">IF($A176="","",IF(AND($A176&lt;&gt;"",$C176&lt;&gt;"",ISNUMBER($I176),ISNUMBER($J176),ISNUMBER($M176)),IF(AND($I176&gt;=1,$J176&gt;0,OR($K176="HT",$K176="TTC"),$M176&gt;=1,IFERROR(INDEX(Fournisseurs!$T$5:$T$24,MATCH($C176,Fournisseurs!$A$5:$A$24,0)),0)=1),1,0),0))</f>
        <v/>
      </c>
      <c r="Z176" s="27" t="str">
        <f aca="false">IF($Y176=1,$J176*(1-N($L176)),"")</f>
        <v/>
      </c>
      <c r="AA176" s="28" t="str">
        <f aca="false">IF($Y176=1,IF($K176="TTC",$Z176/(1+$V176),$Z176),"")</f>
        <v/>
      </c>
      <c r="AB176" s="28" t="str">
        <f aca="false">IF($Y176=1,IF($K176="TTC",$Z176-$AA176,$AA176*$V176),"")</f>
        <v/>
      </c>
      <c r="AC176" s="27" t="str">
        <f aca="false">IF($Y176=1,$AA176*$U176*$M176,"")</f>
        <v/>
      </c>
      <c r="AD176" s="26" t="str">
        <f aca="false">IF($Y176=1,$AC176/SUMIFS($AC$6:$AC$205,$C$6:$C$205,$C176,$Y$6:$Y$205,1),"")</f>
        <v/>
      </c>
      <c r="AE176" s="28" t="str">
        <f aca="false">IF($Y176=1,(INDEX(Fournisseurs!$J$5:$J$24,MATCH($C176,Fournisseurs!$A$5:$A$24,0))+INDEX(Fournisseurs!$K$5:$K$24,MATCH($C176,Fournisseurs!$A$5:$A$24,0)))*$U176*$AD176/($I176*$M176),"")</f>
        <v/>
      </c>
      <c r="AF176" s="28" t="str">
        <f aca="false">IF($Y176=1,INDEX(Fournisseurs!$L$5:$L$24,MATCH($C176,Fournisseurs!$A$5:$A$24,0))*$AD176/($I176*$M176),"")</f>
        <v/>
      </c>
      <c r="AG176" s="28" t="str">
        <f aca="false">IF($Y176=1,$AA176*$U176/$I176,"")</f>
        <v/>
      </c>
      <c r="AH176" s="28" t="str">
        <f aca="false">IF($Y176=1,$AB176*$U176/$I176,"")</f>
        <v/>
      </c>
      <c r="AI176" s="18" t="str">
        <f aca="false">IF($Y176=1,IF(AND(Paramètres!$B$4="EFFECTIVE",$W176="CH",$AB176&gt;0),1,0),"")</f>
        <v/>
      </c>
      <c r="AJ176" s="28" t="str">
        <f aca="false">IF($Y176=1,IF($X176&lt;&gt;"CH",($AG176+$AE176+$AF176)*Paramètres!$B$14,0),"")</f>
        <v/>
      </c>
      <c r="AK176" s="29" t="str">
        <f aca="false">IF($Y176=1,$AG176+IF($AI176=1,0,$AH176)+$AE176+$AF176+IF(Paramètres!$B$4="NOT_REGISTERED",$AJ176,0),"")</f>
        <v/>
      </c>
      <c r="AL176" s="27" t="str">
        <f aca="false">IF($Y176=1,($AK176+Paramètres!$B$7+Paramètres!$B$8+Paramètres!$B$9+Paramètres!$B$10)/((1-Paramètres!$B$11)/(1+Paramètres!$B$5)-Paramètres!$B$6),"")</f>
        <v/>
      </c>
      <c r="AM176" s="26" t="str">
        <f aca="false">IF(AND($Y176=1,ISNUMBER($R176)),IF($R176&gt;0,$AL176/$R176-1,""),"")</f>
        <v/>
      </c>
      <c r="AN176" s="27" t="str">
        <f aca="false">IF(AND($Y176=1,ISNUMBER($R176)),IF($R176&gt;0,$R176/(1+Paramètres!$B$5)-$AK176-($R176*Paramètres!$B$6+Paramètres!$B$7)-Paramètres!$B$8-Paramètres!$B$9-Paramètres!$B$10,""),"")</f>
        <v/>
      </c>
      <c r="AO176" s="26" t="str">
        <f aca="false">IF(ISNUMBER($AN176),$AN176/($R176/(1+Paramètres!$B$5)),"")</f>
        <v/>
      </c>
      <c r="AP176" s="30" t="str">
        <f aca="false">IF($A176="","",IF($Y176&lt;&gt;1,"INCOMPLET",IF(NOT(ISNUMBER($AM176)),"SANS RÉF. MARCHÉ",IF($AM176&lt;=Paramètres!$B$12,"OK",IF(AND($AO176&gt;=Paramètres!$B$15,$AN176&gt;=Paramètres!$B$16),"À REVOIR","NON RENTABLE")))))</f>
        <v/>
      </c>
      <c r="AQ176" s="18" t="str">
        <f aca="false">TRIM(IF(AND($Y176=1,ISNUMBER($N176)),IF($M176&lt;$N176,"MOQ ",""),"")&amp;IF(AND($Y176=1,ISNUMBER($O176)),IF($O176&lt;$I176*$M176,"DISPO ",""),"")&amp;IF($S176="O","FICTIF ","")&amp;IF($Y176=1,IF(AND($K176="TTC",$W176&lt;&gt;"CH"),"TVA-ÉTRANGÈRE ",""),""))</f>
        <v/>
      </c>
      <c r="AR176" s="18" t="str">
        <f aca="false">IF($Y176=1,COUNTIFS($A$6:$A$205,$A176,$AK$6:$AK$205,"&lt;"&amp;$AK176,$Y$6:$Y$205,1)+1,"")</f>
        <v/>
      </c>
      <c r="AS176" s="18" t="str">
        <f aca="false">IF(ISNUMBER($AR176),$A176&amp;"|"&amp;$AR176,"")</f>
        <v/>
      </c>
      <c r="AT176" s="27" t="str">
        <f aca="false">IF($Y176=1,$AK176*$I176*$M176,"")</f>
        <v/>
      </c>
    </row>
    <row r="177" customFormat="false" ht="15" hidden="false" customHeight="false" outlineLevel="0" collapsed="false">
      <c r="A177" s="9"/>
      <c r="B177" s="9"/>
      <c r="C177" s="9"/>
      <c r="D177" s="9"/>
      <c r="E177" s="9"/>
      <c r="F177" s="9"/>
      <c r="G177" s="9"/>
      <c r="H177" s="9"/>
      <c r="I177" s="9"/>
      <c r="J177" s="13"/>
      <c r="K177" s="9"/>
      <c r="L177" s="12"/>
      <c r="M177" s="9"/>
      <c r="N177" s="9"/>
      <c r="O177" s="9"/>
      <c r="P177" s="9"/>
      <c r="Q177" s="16"/>
      <c r="R177" s="13"/>
      <c r="S177" s="9"/>
      <c r="T177" s="18" t="str">
        <f aca="false">IF($C177="","",IFERROR(INDEX(Fournisseurs!$C$5:$C$24,MATCH($C177,Fournisseurs!$A$5:$A$24,0)),""))</f>
        <v/>
      </c>
      <c r="U177" s="25" t="str">
        <f aca="false">IF($C177="","",IFERROR(INDEX(Fournisseurs!$D$5:$D$24,MATCH($C177,Fournisseurs!$A$5:$A$24,0)),""))</f>
        <v/>
      </c>
      <c r="V177" s="26" t="str">
        <f aca="false">IF($C177="","",IFERROR(INDEX(Fournisseurs!$G$5:$G$24,MATCH($C177,Fournisseurs!$A$5:$A$24,0)),""))</f>
        <v/>
      </c>
      <c r="W177" s="18" t="str">
        <f aca="false">IF($C177="","",IFERROR(INDEX(Fournisseurs!$H$5:$H$24,MATCH($C177,Fournisseurs!$A$5:$A$24,0)),""))</f>
        <v/>
      </c>
      <c r="X177" s="18" t="str">
        <f aca="false">IF($C177="","",IFERROR(INDEX(Fournisseurs!$B$5:$B$24,MATCH($C177,Fournisseurs!$A$5:$A$24,0)),""))</f>
        <v/>
      </c>
      <c r="Y177" s="18" t="str">
        <f aca="false">IF($A177="","",IF(AND($A177&lt;&gt;"",$C177&lt;&gt;"",ISNUMBER($I177),ISNUMBER($J177),ISNUMBER($M177)),IF(AND($I177&gt;=1,$J177&gt;0,OR($K177="HT",$K177="TTC"),$M177&gt;=1,IFERROR(INDEX(Fournisseurs!$T$5:$T$24,MATCH($C177,Fournisseurs!$A$5:$A$24,0)),0)=1),1,0),0))</f>
        <v/>
      </c>
      <c r="Z177" s="27" t="str">
        <f aca="false">IF($Y177=1,$J177*(1-N($L177)),"")</f>
        <v/>
      </c>
      <c r="AA177" s="28" t="str">
        <f aca="false">IF($Y177=1,IF($K177="TTC",$Z177/(1+$V177),$Z177),"")</f>
        <v/>
      </c>
      <c r="AB177" s="28" t="str">
        <f aca="false">IF($Y177=1,IF($K177="TTC",$Z177-$AA177,$AA177*$V177),"")</f>
        <v/>
      </c>
      <c r="AC177" s="27" t="str">
        <f aca="false">IF($Y177=1,$AA177*$U177*$M177,"")</f>
        <v/>
      </c>
      <c r="AD177" s="26" t="str">
        <f aca="false">IF($Y177=1,$AC177/SUMIFS($AC$6:$AC$205,$C$6:$C$205,$C177,$Y$6:$Y$205,1),"")</f>
        <v/>
      </c>
      <c r="AE177" s="28" t="str">
        <f aca="false">IF($Y177=1,(INDEX(Fournisseurs!$J$5:$J$24,MATCH($C177,Fournisseurs!$A$5:$A$24,0))+INDEX(Fournisseurs!$K$5:$K$24,MATCH($C177,Fournisseurs!$A$5:$A$24,0)))*$U177*$AD177/($I177*$M177),"")</f>
        <v/>
      </c>
      <c r="AF177" s="28" t="str">
        <f aca="false">IF($Y177=1,INDEX(Fournisseurs!$L$5:$L$24,MATCH($C177,Fournisseurs!$A$5:$A$24,0))*$AD177/($I177*$M177),"")</f>
        <v/>
      </c>
      <c r="AG177" s="28" t="str">
        <f aca="false">IF($Y177=1,$AA177*$U177/$I177,"")</f>
        <v/>
      </c>
      <c r="AH177" s="28" t="str">
        <f aca="false">IF($Y177=1,$AB177*$U177/$I177,"")</f>
        <v/>
      </c>
      <c r="AI177" s="18" t="str">
        <f aca="false">IF($Y177=1,IF(AND(Paramètres!$B$4="EFFECTIVE",$W177="CH",$AB177&gt;0),1,0),"")</f>
        <v/>
      </c>
      <c r="AJ177" s="28" t="str">
        <f aca="false">IF($Y177=1,IF($X177&lt;&gt;"CH",($AG177+$AE177+$AF177)*Paramètres!$B$14,0),"")</f>
        <v/>
      </c>
      <c r="AK177" s="29" t="str">
        <f aca="false">IF($Y177=1,$AG177+IF($AI177=1,0,$AH177)+$AE177+$AF177+IF(Paramètres!$B$4="NOT_REGISTERED",$AJ177,0),"")</f>
        <v/>
      </c>
      <c r="AL177" s="27" t="str">
        <f aca="false">IF($Y177=1,($AK177+Paramètres!$B$7+Paramètres!$B$8+Paramètres!$B$9+Paramètres!$B$10)/((1-Paramètres!$B$11)/(1+Paramètres!$B$5)-Paramètres!$B$6),"")</f>
        <v/>
      </c>
      <c r="AM177" s="26" t="str">
        <f aca="false">IF(AND($Y177=1,ISNUMBER($R177)),IF($R177&gt;0,$AL177/$R177-1,""),"")</f>
        <v/>
      </c>
      <c r="AN177" s="27" t="str">
        <f aca="false">IF(AND($Y177=1,ISNUMBER($R177)),IF($R177&gt;0,$R177/(1+Paramètres!$B$5)-$AK177-($R177*Paramètres!$B$6+Paramètres!$B$7)-Paramètres!$B$8-Paramètres!$B$9-Paramètres!$B$10,""),"")</f>
        <v/>
      </c>
      <c r="AO177" s="26" t="str">
        <f aca="false">IF(ISNUMBER($AN177),$AN177/($R177/(1+Paramètres!$B$5)),"")</f>
        <v/>
      </c>
      <c r="AP177" s="30" t="str">
        <f aca="false">IF($A177="","",IF($Y177&lt;&gt;1,"INCOMPLET",IF(NOT(ISNUMBER($AM177)),"SANS RÉF. MARCHÉ",IF($AM177&lt;=Paramètres!$B$12,"OK",IF(AND($AO177&gt;=Paramètres!$B$15,$AN177&gt;=Paramètres!$B$16),"À REVOIR","NON RENTABLE")))))</f>
        <v/>
      </c>
      <c r="AQ177" s="18" t="str">
        <f aca="false">TRIM(IF(AND($Y177=1,ISNUMBER($N177)),IF($M177&lt;$N177,"MOQ ",""),"")&amp;IF(AND($Y177=1,ISNUMBER($O177)),IF($O177&lt;$I177*$M177,"DISPO ",""),"")&amp;IF($S177="O","FICTIF ","")&amp;IF($Y177=1,IF(AND($K177="TTC",$W177&lt;&gt;"CH"),"TVA-ÉTRANGÈRE ",""),""))</f>
        <v/>
      </c>
      <c r="AR177" s="18" t="str">
        <f aca="false">IF($Y177=1,COUNTIFS($A$6:$A$205,$A177,$AK$6:$AK$205,"&lt;"&amp;$AK177,$Y$6:$Y$205,1)+1,"")</f>
        <v/>
      </c>
      <c r="AS177" s="18" t="str">
        <f aca="false">IF(ISNUMBER($AR177),$A177&amp;"|"&amp;$AR177,"")</f>
        <v/>
      </c>
      <c r="AT177" s="27" t="str">
        <f aca="false">IF($Y177=1,$AK177*$I177*$M177,"")</f>
        <v/>
      </c>
    </row>
    <row r="178" customFormat="false" ht="15" hidden="false" customHeight="false" outlineLevel="0" collapsed="false">
      <c r="A178" s="9"/>
      <c r="B178" s="9"/>
      <c r="C178" s="9"/>
      <c r="D178" s="9"/>
      <c r="E178" s="9"/>
      <c r="F178" s="9"/>
      <c r="G178" s="9"/>
      <c r="H178" s="9"/>
      <c r="I178" s="9"/>
      <c r="J178" s="13"/>
      <c r="K178" s="9"/>
      <c r="L178" s="12"/>
      <c r="M178" s="9"/>
      <c r="N178" s="9"/>
      <c r="O178" s="9"/>
      <c r="P178" s="9"/>
      <c r="Q178" s="16"/>
      <c r="R178" s="13"/>
      <c r="S178" s="9"/>
      <c r="T178" s="18" t="str">
        <f aca="false">IF($C178="","",IFERROR(INDEX(Fournisseurs!$C$5:$C$24,MATCH($C178,Fournisseurs!$A$5:$A$24,0)),""))</f>
        <v/>
      </c>
      <c r="U178" s="25" t="str">
        <f aca="false">IF($C178="","",IFERROR(INDEX(Fournisseurs!$D$5:$D$24,MATCH($C178,Fournisseurs!$A$5:$A$24,0)),""))</f>
        <v/>
      </c>
      <c r="V178" s="26" t="str">
        <f aca="false">IF($C178="","",IFERROR(INDEX(Fournisseurs!$G$5:$G$24,MATCH($C178,Fournisseurs!$A$5:$A$24,0)),""))</f>
        <v/>
      </c>
      <c r="W178" s="18" t="str">
        <f aca="false">IF($C178="","",IFERROR(INDEX(Fournisseurs!$H$5:$H$24,MATCH($C178,Fournisseurs!$A$5:$A$24,0)),""))</f>
        <v/>
      </c>
      <c r="X178" s="18" t="str">
        <f aca="false">IF($C178="","",IFERROR(INDEX(Fournisseurs!$B$5:$B$24,MATCH($C178,Fournisseurs!$A$5:$A$24,0)),""))</f>
        <v/>
      </c>
      <c r="Y178" s="18" t="str">
        <f aca="false">IF($A178="","",IF(AND($A178&lt;&gt;"",$C178&lt;&gt;"",ISNUMBER($I178),ISNUMBER($J178),ISNUMBER($M178)),IF(AND($I178&gt;=1,$J178&gt;0,OR($K178="HT",$K178="TTC"),$M178&gt;=1,IFERROR(INDEX(Fournisseurs!$T$5:$T$24,MATCH($C178,Fournisseurs!$A$5:$A$24,0)),0)=1),1,0),0))</f>
        <v/>
      </c>
      <c r="Z178" s="27" t="str">
        <f aca="false">IF($Y178=1,$J178*(1-N($L178)),"")</f>
        <v/>
      </c>
      <c r="AA178" s="28" t="str">
        <f aca="false">IF($Y178=1,IF($K178="TTC",$Z178/(1+$V178),$Z178),"")</f>
        <v/>
      </c>
      <c r="AB178" s="28" t="str">
        <f aca="false">IF($Y178=1,IF($K178="TTC",$Z178-$AA178,$AA178*$V178),"")</f>
        <v/>
      </c>
      <c r="AC178" s="27" t="str">
        <f aca="false">IF($Y178=1,$AA178*$U178*$M178,"")</f>
        <v/>
      </c>
      <c r="AD178" s="26" t="str">
        <f aca="false">IF($Y178=1,$AC178/SUMIFS($AC$6:$AC$205,$C$6:$C$205,$C178,$Y$6:$Y$205,1),"")</f>
        <v/>
      </c>
      <c r="AE178" s="28" t="str">
        <f aca="false">IF($Y178=1,(INDEX(Fournisseurs!$J$5:$J$24,MATCH($C178,Fournisseurs!$A$5:$A$24,0))+INDEX(Fournisseurs!$K$5:$K$24,MATCH($C178,Fournisseurs!$A$5:$A$24,0)))*$U178*$AD178/($I178*$M178),"")</f>
        <v/>
      </c>
      <c r="AF178" s="28" t="str">
        <f aca="false">IF($Y178=1,INDEX(Fournisseurs!$L$5:$L$24,MATCH($C178,Fournisseurs!$A$5:$A$24,0))*$AD178/($I178*$M178),"")</f>
        <v/>
      </c>
      <c r="AG178" s="28" t="str">
        <f aca="false">IF($Y178=1,$AA178*$U178/$I178,"")</f>
        <v/>
      </c>
      <c r="AH178" s="28" t="str">
        <f aca="false">IF($Y178=1,$AB178*$U178/$I178,"")</f>
        <v/>
      </c>
      <c r="AI178" s="18" t="str">
        <f aca="false">IF($Y178=1,IF(AND(Paramètres!$B$4="EFFECTIVE",$W178="CH",$AB178&gt;0),1,0),"")</f>
        <v/>
      </c>
      <c r="AJ178" s="28" t="str">
        <f aca="false">IF($Y178=1,IF($X178&lt;&gt;"CH",($AG178+$AE178+$AF178)*Paramètres!$B$14,0),"")</f>
        <v/>
      </c>
      <c r="AK178" s="29" t="str">
        <f aca="false">IF($Y178=1,$AG178+IF($AI178=1,0,$AH178)+$AE178+$AF178+IF(Paramètres!$B$4="NOT_REGISTERED",$AJ178,0),"")</f>
        <v/>
      </c>
      <c r="AL178" s="27" t="str">
        <f aca="false">IF($Y178=1,($AK178+Paramètres!$B$7+Paramètres!$B$8+Paramètres!$B$9+Paramètres!$B$10)/((1-Paramètres!$B$11)/(1+Paramètres!$B$5)-Paramètres!$B$6),"")</f>
        <v/>
      </c>
      <c r="AM178" s="26" t="str">
        <f aca="false">IF(AND($Y178=1,ISNUMBER($R178)),IF($R178&gt;0,$AL178/$R178-1,""),"")</f>
        <v/>
      </c>
      <c r="AN178" s="27" t="str">
        <f aca="false">IF(AND($Y178=1,ISNUMBER($R178)),IF($R178&gt;0,$R178/(1+Paramètres!$B$5)-$AK178-($R178*Paramètres!$B$6+Paramètres!$B$7)-Paramètres!$B$8-Paramètres!$B$9-Paramètres!$B$10,""),"")</f>
        <v/>
      </c>
      <c r="AO178" s="26" t="str">
        <f aca="false">IF(ISNUMBER($AN178),$AN178/($R178/(1+Paramètres!$B$5)),"")</f>
        <v/>
      </c>
      <c r="AP178" s="30" t="str">
        <f aca="false">IF($A178="","",IF($Y178&lt;&gt;1,"INCOMPLET",IF(NOT(ISNUMBER($AM178)),"SANS RÉF. MARCHÉ",IF($AM178&lt;=Paramètres!$B$12,"OK",IF(AND($AO178&gt;=Paramètres!$B$15,$AN178&gt;=Paramètres!$B$16),"À REVOIR","NON RENTABLE")))))</f>
        <v/>
      </c>
      <c r="AQ178" s="18" t="str">
        <f aca="false">TRIM(IF(AND($Y178=1,ISNUMBER($N178)),IF($M178&lt;$N178,"MOQ ",""),"")&amp;IF(AND($Y178=1,ISNUMBER($O178)),IF($O178&lt;$I178*$M178,"DISPO ",""),"")&amp;IF($S178="O","FICTIF ","")&amp;IF($Y178=1,IF(AND($K178="TTC",$W178&lt;&gt;"CH"),"TVA-ÉTRANGÈRE ",""),""))</f>
        <v/>
      </c>
      <c r="AR178" s="18" t="str">
        <f aca="false">IF($Y178=1,COUNTIFS($A$6:$A$205,$A178,$AK$6:$AK$205,"&lt;"&amp;$AK178,$Y$6:$Y$205,1)+1,"")</f>
        <v/>
      </c>
      <c r="AS178" s="18" t="str">
        <f aca="false">IF(ISNUMBER($AR178),$A178&amp;"|"&amp;$AR178,"")</f>
        <v/>
      </c>
      <c r="AT178" s="27" t="str">
        <f aca="false">IF($Y178=1,$AK178*$I178*$M178,"")</f>
        <v/>
      </c>
    </row>
    <row r="179" customFormat="false" ht="15" hidden="false" customHeight="false" outlineLevel="0" collapsed="false">
      <c r="A179" s="9"/>
      <c r="B179" s="9"/>
      <c r="C179" s="9"/>
      <c r="D179" s="9"/>
      <c r="E179" s="9"/>
      <c r="F179" s="9"/>
      <c r="G179" s="9"/>
      <c r="H179" s="9"/>
      <c r="I179" s="9"/>
      <c r="J179" s="13"/>
      <c r="K179" s="9"/>
      <c r="L179" s="12"/>
      <c r="M179" s="9"/>
      <c r="N179" s="9"/>
      <c r="O179" s="9"/>
      <c r="P179" s="9"/>
      <c r="Q179" s="16"/>
      <c r="R179" s="13"/>
      <c r="S179" s="9"/>
      <c r="T179" s="18" t="str">
        <f aca="false">IF($C179="","",IFERROR(INDEX(Fournisseurs!$C$5:$C$24,MATCH($C179,Fournisseurs!$A$5:$A$24,0)),""))</f>
        <v/>
      </c>
      <c r="U179" s="25" t="str">
        <f aca="false">IF($C179="","",IFERROR(INDEX(Fournisseurs!$D$5:$D$24,MATCH($C179,Fournisseurs!$A$5:$A$24,0)),""))</f>
        <v/>
      </c>
      <c r="V179" s="26" t="str">
        <f aca="false">IF($C179="","",IFERROR(INDEX(Fournisseurs!$G$5:$G$24,MATCH($C179,Fournisseurs!$A$5:$A$24,0)),""))</f>
        <v/>
      </c>
      <c r="W179" s="18" t="str">
        <f aca="false">IF($C179="","",IFERROR(INDEX(Fournisseurs!$H$5:$H$24,MATCH($C179,Fournisseurs!$A$5:$A$24,0)),""))</f>
        <v/>
      </c>
      <c r="X179" s="18" t="str">
        <f aca="false">IF($C179="","",IFERROR(INDEX(Fournisseurs!$B$5:$B$24,MATCH($C179,Fournisseurs!$A$5:$A$24,0)),""))</f>
        <v/>
      </c>
      <c r="Y179" s="18" t="str">
        <f aca="false">IF($A179="","",IF(AND($A179&lt;&gt;"",$C179&lt;&gt;"",ISNUMBER($I179),ISNUMBER($J179),ISNUMBER($M179)),IF(AND($I179&gt;=1,$J179&gt;0,OR($K179="HT",$K179="TTC"),$M179&gt;=1,IFERROR(INDEX(Fournisseurs!$T$5:$T$24,MATCH($C179,Fournisseurs!$A$5:$A$24,0)),0)=1),1,0),0))</f>
        <v/>
      </c>
      <c r="Z179" s="27" t="str">
        <f aca="false">IF($Y179=1,$J179*(1-N($L179)),"")</f>
        <v/>
      </c>
      <c r="AA179" s="28" t="str">
        <f aca="false">IF($Y179=1,IF($K179="TTC",$Z179/(1+$V179),$Z179),"")</f>
        <v/>
      </c>
      <c r="AB179" s="28" t="str">
        <f aca="false">IF($Y179=1,IF($K179="TTC",$Z179-$AA179,$AA179*$V179),"")</f>
        <v/>
      </c>
      <c r="AC179" s="27" t="str">
        <f aca="false">IF($Y179=1,$AA179*$U179*$M179,"")</f>
        <v/>
      </c>
      <c r="AD179" s="26" t="str">
        <f aca="false">IF($Y179=1,$AC179/SUMIFS($AC$6:$AC$205,$C$6:$C$205,$C179,$Y$6:$Y$205,1),"")</f>
        <v/>
      </c>
      <c r="AE179" s="28" t="str">
        <f aca="false">IF($Y179=1,(INDEX(Fournisseurs!$J$5:$J$24,MATCH($C179,Fournisseurs!$A$5:$A$24,0))+INDEX(Fournisseurs!$K$5:$K$24,MATCH($C179,Fournisseurs!$A$5:$A$24,0)))*$U179*$AD179/($I179*$M179),"")</f>
        <v/>
      </c>
      <c r="AF179" s="28" t="str">
        <f aca="false">IF($Y179=1,INDEX(Fournisseurs!$L$5:$L$24,MATCH($C179,Fournisseurs!$A$5:$A$24,0))*$AD179/($I179*$M179),"")</f>
        <v/>
      </c>
      <c r="AG179" s="28" t="str">
        <f aca="false">IF($Y179=1,$AA179*$U179/$I179,"")</f>
        <v/>
      </c>
      <c r="AH179" s="28" t="str">
        <f aca="false">IF($Y179=1,$AB179*$U179/$I179,"")</f>
        <v/>
      </c>
      <c r="AI179" s="18" t="str">
        <f aca="false">IF($Y179=1,IF(AND(Paramètres!$B$4="EFFECTIVE",$W179="CH",$AB179&gt;0),1,0),"")</f>
        <v/>
      </c>
      <c r="AJ179" s="28" t="str">
        <f aca="false">IF($Y179=1,IF($X179&lt;&gt;"CH",($AG179+$AE179+$AF179)*Paramètres!$B$14,0),"")</f>
        <v/>
      </c>
      <c r="AK179" s="29" t="str">
        <f aca="false">IF($Y179=1,$AG179+IF($AI179=1,0,$AH179)+$AE179+$AF179+IF(Paramètres!$B$4="NOT_REGISTERED",$AJ179,0),"")</f>
        <v/>
      </c>
      <c r="AL179" s="27" t="str">
        <f aca="false">IF($Y179=1,($AK179+Paramètres!$B$7+Paramètres!$B$8+Paramètres!$B$9+Paramètres!$B$10)/((1-Paramètres!$B$11)/(1+Paramètres!$B$5)-Paramètres!$B$6),"")</f>
        <v/>
      </c>
      <c r="AM179" s="26" t="str">
        <f aca="false">IF(AND($Y179=1,ISNUMBER($R179)),IF($R179&gt;0,$AL179/$R179-1,""),"")</f>
        <v/>
      </c>
      <c r="AN179" s="27" t="str">
        <f aca="false">IF(AND($Y179=1,ISNUMBER($R179)),IF($R179&gt;0,$R179/(1+Paramètres!$B$5)-$AK179-($R179*Paramètres!$B$6+Paramètres!$B$7)-Paramètres!$B$8-Paramètres!$B$9-Paramètres!$B$10,""),"")</f>
        <v/>
      </c>
      <c r="AO179" s="26" t="str">
        <f aca="false">IF(ISNUMBER($AN179),$AN179/($R179/(1+Paramètres!$B$5)),"")</f>
        <v/>
      </c>
      <c r="AP179" s="30" t="str">
        <f aca="false">IF($A179="","",IF($Y179&lt;&gt;1,"INCOMPLET",IF(NOT(ISNUMBER($AM179)),"SANS RÉF. MARCHÉ",IF($AM179&lt;=Paramètres!$B$12,"OK",IF(AND($AO179&gt;=Paramètres!$B$15,$AN179&gt;=Paramètres!$B$16),"À REVOIR","NON RENTABLE")))))</f>
        <v/>
      </c>
      <c r="AQ179" s="18" t="str">
        <f aca="false">TRIM(IF(AND($Y179=1,ISNUMBER($N179)),IF($M179&lt;$N179,"MOQ ",""),"")&amp;IF(AND($Y179=1,ISNUMBER($O179)),IF($O179&lt;$I179*$M179,"DISPO ",""),"")&amp;IF($S179="O","FICTIF ","")&amp;IF($Y179=1,IF(AND($K179="TTC",$W179&lt;&gt;"CH"),"TVA-ÉTRANGÈRE ",""),""))</f>
        <v/>
      </c>
      <c r="AR179" s="18" t="str">
        <f aca="false">IF($Y179=1,COUNTIFS($A$6:$A$205,$A179,$AK$6:$AK$205,"&lt;"&amp;$AK179,$Y$6:$Y$205,1)+1,"")</f>
        <v/>
      </c>
      <c r="AS179" s="18" t="str">
        <f aca="false">IF(ISNUMBER($AR179),$A179&amp;"|"&amp;$AR179,"")</f>
        <v/>
      </c>
      <c r="AT179" s="27" t="str">
        <f aca="false">IF($Y179=1,$AK179*$I179*$M179,"")</f>
        <v/>
      </c>
    </row>
    <row r="180" customFormat="false" ht="15" hidden="false" customHeight="false" outlineLevel="0" collapsed="false">
      <c r="A180" s="9"/>
      <c r="B180" s="9"/>
      <c r="C180" s="9"/>
      <c r="D180" s="9"/>
      <c r="E180" s="9"/>
      <c r="F180" s="9"/>
      <c r="G180" s="9"/>
      <c r="H180" s="9"/>
      <c r="I180" s="9"/>
      <c r="J180" s="13"/>
      <c r="K180" s="9"/>
      <c r="L180" s="12"/>
      <c r="M180" s="9"/>
      <c r="N180" s="9"/>
      <c r="O180" s="9"/>
      <c r="P180" s="9"/>
      <c r="Q180" s="16"/>
      <c r="R180" s="13"/>
      <c r="S180" s="9"/>
      <c r="T180" s="18" t="str">
        <f aca="false">IF($C180="","",IFERROR(INDEX(Fournisseurs!$C$5:$C$24,MATCH($C180,Fournisseurs!$A$5:$A$24,0)),""))</f>
        <v/>
      </c>
      <c r="U180" s="25" t="str">
        <f aca="false">IF($C180="","",IFERROR(INDEX(Fournisseurs!$D$5:$D$24,MATCH($C180,Fournisseurs!$A$5:$A$24,0)),""))</f>
        <v/>
      </c>
      <c r="V180" s="26" t="str">
        <f aca="false">IF($C180="","",IFERROR(INDEX(Fournisseurs!$G$5:$G$24,MATCH($C180,Fournisseurs!$A$5:$A$24,0)),""))</f>
        <v/>
      </c>
      <c r="W180" s="18" t="str">
        <f aca="false">IF($C180="","",IFERROR(INDEX(Fournisseurs!$H$5:$H$24,MATCH($C180,Fournisseurs!$A$5:$A$24,0)),""))</f>
        <v/>
      </c>
      <c r="X180" s="18" t="str">
        <f aca="false">IF($C180="","",IFERROR(INDEX(Fournisseurs!$B$5:$B$24,MATCH($C180,Fournisseurs!$A$5:$A$24,0)),""))</f>
        <v/>
      </c>
      <c r="Y180" s="18" t="str">
        <f aca="false">IF($A180="","",IF(AND($A180&lt;&gt;"",$C180&lt;&gt;"",ISNUMBER($I180),ISNUMBER($J180),ISNUMBER($M180)),IF(AND($I180&gt;=1,$J180&gt;0,OR($K180="HT",$K180="TTC"),$M180&gt;=1,IFERROR(INDEX(Fournisseurs!$T$5:$T$24,MATCH($C180,Fournisseurs!$A$5:$A$24,0)),0)=1),1,0),0))</f>
        <v/>
      </c>
      <c r="Z180" s="27" t="str">
        <f aca="false">IF($Y180=1,$J180*(1-N($L180)),"")</f>
        <v/>
      </c>
      <c r="AA180" s="28" t="str">
        <f aca="false">IF($Y180=1,IF($K180="TTC",$Z180/(1+$V180),$Z180),"")</f>
        <v/>
      </c>
      <c r="AB180" s="28" t="str">
        <f aca="false">IF($Y180=1,IF($K180="TTC",$Z180-$AA180,$AA180*$V180),"")</f>
        <v/>
      </c>
      <c r="AC180" s="27" t="str">
        <f aca="false">IF($Y180=1,$AA180*$U180*$M180,"")</f>
        <v/>
      </c>
      <c r="AD180" s="26" t="str">
        <f aca="false">IF($Y180=1,$AC180/SUMIFS($AC$6:$AC$205,$C$6:$C$205,$C180,$Y$6:$Y$205,1),"")</f>
        <v/>
      </c>
      <c r="AE180" s="28" t="str">
        <f aca="false">IF($Y180=1,(INDEX(Fournisseurs!$J$5:$J$24,MATCH($C180,Fournisseurs!$A$5:$A$24,0))+INDEX(Fournisseurs!$K$5:$K$24,MATCH($C180,Fournisseurs!$A$5:$A$24,0)))*$U180*$AD180/($I180*$M180),"")</f>
        <v/>
      </c>
      <c r="AF180" s="28" t="str">
        <f aca="false">IF($Y180=1,INDEX(Fournisseurs!$L$5:$L$24,MATCH($C180,Fournisseurs!$A$5:$A$24,0))*$AD180/($I180*$M180),"")</f>
        <v/>
      </c>
      <c r="AG180" s="28" t="str">
        <f aca="false">IF($Y180=1,$AA180*$U180/$I180,"")</f>
        <v/>
      </c>
      <c r="AH180" s="28" t="str">
        <f aca="false">IF($Y180=1,$AB180*$U180/$I180,"")</f>
        <v/>
      </c>
      <c r="AI180" s="18" t="str">
        <f aca="false">IF($Y180=1,IF(AND(Paramètres!$B$4="EFFECTIVE",$W180="CH",$AB180&gt;0),1,0),"")</f>
        <v/>
      </c>
      <c r="AJ180" s="28" t="str">
        <f aca="false">IF($Y180=1,IF($X180&lt;&gt;"CH",($AG180+$AE180+$AF180)*Paramètres!$B$14,0),"")</f>
        <v/>
      </c>
      <c r="AK180" s="29" t="str">
        <f aca="false">IF($Y180=1,$AG180+IF($AI180=1,0,$AH180)+$AE180+$AF180+IF(Paramètres!$B$4="NOT_REGISTERED",$AJ180,0),"")</f>
        <v/>
      </c>
      <c r="AL180" s="27" t="str">
        <f aca="false">IF($Y180=1,($AK180+Paramètres!$B$7+Paramètres!$B$8+Paramètres!$B$9+Paramètres!$B$10)/((1-Paramètres!$B$11)/(1+Paramètres!$B$5)-Paramètres!$B$6),"")</f>
        <v/>
      </c>
      <c r="AM180" s="26" t="str">
        <f aca="false">IF(AND($Y180=1,ISNUMBER($R180)),IF($R180&gt;0,$AL180/$R180-1,""),"")</f>
        <v/>
      </c>
      <c r="AN180" s="27" t="str">
        <f aca="false">IF(AND($Y180=1,ISNUMBER($R180)),IF($R180&gt;0,$R180/(1+Paramètres!$B$5)-$AK180-($R180*Paramètres!$B$6+Paramètres!$B$7)-Paramètres!$B$8-Paramètres!$B$9-Paramètres!$B$10,""),"")</f>
        <v/>
      </c>
      <c r="AO180" s="26" t="str">
        <f aca="false">IF(ISNUMBER($AN180),$AN180/($R180/(1+Paramètres!$B$5)),"")</f>
        <v/>
      </c>
      <c r="AP180" s="30" t="str">
        <f aca="false">IF($A180="","",IF($Y180&lt;&gt;1,"INCOMPLET",IF(NOT(ISNUMBER($AM180)),"SANS RÉF. MARCHÉ",IF($AM180&lt;=Paramètres!$B$12,"OK",IF(AND($AO180&gt;=Paramètres!$B$15,$AN180&gt;=Paramètres!$B$16),"À REVOIR","NON RENTABLE")))))</f>
        <v/>
      </c>
      <c r="AQ180" s="18" t="str">
        <f aca="false">TRIM(IF(AND($Y180=1,ISNUMBER($N180)),IF($M180&lt;$N180,"MOQ ",""),"")&amp;IF(AND($Y180=1,ISNUMBER($O180)),IF($O180&lt;$I180*$M180,"DISPO ",""),"")&amp;IF($S180="O","FICTIF ","")&amp;IF($Y180=1,IF(AND($K180="TTC",$W180&lt;&gt;"CH"),"TVA-ÉTRANGÈRE ",""),""))</f>
        <v/>
      </c>
      <c r="AR180" s="18" t="str">
        <f aca="false">IF($Y180=1,COUNTIFS($A$6:$A$205,$A180,$AK$6:$AK$205,"&lt;"&amp;$AK180,$Y$6:$Y$205,1)+1,"")</f>
        <v/>
      </c>
      <c r="AS180" s="18" t="str">
        <f aca="false">IF(ISNUMBER($AR180),$A180&amp;"|"&amp;$AR180,"")</f>
        <v/>
      </c>
      <c r="AT180" s="27" t="str">
        <f aca="false">IF($Y180=1,$AK180*$I180*$M180,"")</f>
        <v/>
      </c>
    </row>
    <row r="181" customFormat="false" ht="15" hidden="false" customHeight="false" outlineLevel="0" collapsed="false">
      <c r="A181" s="9"/>
      <c r="B181" s="9"/>
      <c r="C181" s="9"/>
      <c r="D181" s="9"/>
      <c r="E181" s="9"/>
      <c r="F181" s="9"/>
      <c r="G181" s="9"/>
      <c r="H181" s="9"/>
      <c r="I181" s="9"/>
      <c r="J181" s="13"/>
      <c r="K181" s="9"/>
      <c r="L181" s="12"/>
      <c r="M181" s="9"/>
      <c r="N181" s="9"/>
      <c r="O181" s="9"/>
      <c r="P181" s="9"/>
      <c r="Q181" s="16"/>
      <c r="R181" s="13"/>
      <c r="S181" s="9"/>
      <c r="T181" s="18" t="str">
        <f aca="false">IF($C181="","",IFERROR(INDEX(Fournisseurs!$C$5:$C$24,MATCH($C181,Fournisseurs!$A$5:$A$24,0)),""))</f>
        <v/>
      </c>
      <c r="U181" s="25" t="str">
        <f aca="false">IF($C181="","",IFERROR(INDEX(Fournisseurs!$D$5:$D$24,MATCH($C181,Fournisseurs!$A$5:$A$24,0)),""))</f>
        <v/>
      </c>
      <c r="V181" s="26" t="str">
        <f aca="false">IF($C181="","",IFERROR(INDEX(Fournisseurs!$G$5:$G$24,MATCH($C181,Fournisseurs!$A$5:$A$24,0)),""))</f>
        <v/>
      </c>
      <c r="W181" s="18" t="str">
        <f aca="false">IF($C181="","",IFERROR(INDEX(Fournisseurs!$H$5:$H$24,MATCH($C181,Fournisseurs!$A$5:$A$24,0)),""))</f>
        <v/>
      </c>
      <c r="X181" s="18" t="str">
        <f aca="false">IF($C181="","",IFERROR(INDEX(Fournisseurs!$B$5:$B$24,MATCH($C181,Fournisseurs!$A$5:$A$24,0)),""))</f>
        <v/>
      </c>
      <c r="Y181" s="18" t="str">
        <f aca="false">IF($A181="","",IF(AND($A181&lt;&gt;"",$C181&lt;&gt;"",ISNUMBER($I181),ISNUMBER($J181),ISNUMBER($M181)),IF(AND($I181&gt;=1,$J181&gt;0,OR($K181="HT",$K181="TTC"),$M181&gt;=1,IFERROR(INDEX(Fournisseurs!$T$5:$T$24,MATCH($C181,Fournisseurs!$A$5:$A$24,0)),0)=1),1,0),0))</f>
        <v/>
      </c>
      <c r="Z181" s="27" t="str">
        <f aca="false">IF($Y181=1,$J181*(1-N($L181)),"")</f>
        <v/>
      </c>
      <c r="AA181" s="28" t="str">
        <f aca="false">IF($Y181=1,IF($K181="TTC",$Z181/(1+$V181),$Z181),"")</f>
        <v/>
      </c>
      <c r="AB181" s="28" t="str">
        <f aca="false">IF($Y181=1,IF($K181="TTC",$Z181-$AA181,$AA181*$V181),"")</f>
        <v/>
      </c>
      <c r="AC181" s="27" t="str">
        <f aca="false">IF($Y181=1,$AA181*$U181*$M181,"")</f>
        <v/>
      </c>
      <c r="AD181" s="26" t="str">
        <f aca="false">IF($Y181=1,$AC181/SUMIFS($AC$6:$AC$205,$C$6:$C$205,$C181,$Y$6:$Y$205,1),"")</f>
        <v/>
      </c>
      <c r="AE181" s="28" t="str">
        <f aca="false">IF($Y181=1,(INDEX(Fournisseurs!$J$5:$J$24,MATCH($C181,Fournisseurs!$A$5:$A$24,0))+INDEX(Fournisseurs!$K$5:$K$24,MATCH($C181,Fournisseurs!$A$5:$A$24,0)))*$U181*$AD181/($I181*$M181),"")</f>
        <v/>
      </c>
      <c r="AF181" s="28" t="str">
        <f aca="false">IF($Y181=1,INDEX(Fournisseurs!$L$5:$L$24,MATCH($C181,Fournisseurs!$A$5:$A$24,0))*$AD181/($I181*$M181),"")</f>
        <v/>
      </c>
      <c r="AG181" s="28" t="str">
        <f aca="false">IF($Y181=1,$AA181*$U181/$I181,"")</f>
        <v/>
      </c>
      <c r="AH181" s="28" t="str">
        <f aca="false">IF($Y181=1,$AB181*$U181/$I181,"")</f>
        <v/>
      </c>
      <c r="AI181" s="18" t="str">
        <f aca="false">IF($Y181=1,IF(AND(Paramètres!$B$4="EFFECTIVE",$W181="CH",$AB181&gt;0),1,0),"")</f>
        <v/>
      </c>
      <c r="AJ181" s="28" t="str">
        <f aca="false">IF($Y181=1,IF($X181&lt;&gt;"CH",($AG181+$AE181+$AF181)*Paramètres!$B$14,0),"")</f>
        <v/>
      </c>
      <c r="AK181" s="29" t="str">
        <f aca="false">IF($Y181=1,$AG181+IF($AI181=1,0,$AH181)+$AE181+$AF181+IF(Paramètres!$B$4="NOT_REGISTERED",$AJ181,0),"")</f>
        <v/>
      </c>
      <c r="AL181" s="27" t="str">
        <f aca="false">IF($Y181=1,($AK181+Paramètres!$B$7+Paramètres!$B$8+Paramètres!$B$9+Paramètres!$B$10)/((1-Paramètres!$B$11)/(1+Paramètres!$B$5)-Paramètres!$B$6),"")</f>
        <v/>
      </c>
      <c r="AM181" s="26" t="str">
        <f aca="false">IF(AND($Y181=1,ISNUMBER($R181)),IF($R181&gt;0,$AL181/$R181-1,""),"")</f>
        <v/>
      </c>
      <c r="AN181" s="27" t="str">
        <f aca="false">IF(AND($Y181=1,ISNUMBER($R181)),IF($R181&gt;0,$R181/(1+Paramètres!$B$5)-$AK181-($R181*Paramètres!$B$6+Paramètres!$B$7)-Paramètres!$B$8-Paramètres!$B$9-Paramètres!$B$10,""),"")</f>
        <v/>
      </c>
      <c r="AO181" s="26" t="str">
        <f aca="false">IF(ISNUMBER($AN181),$AN181/($R181/(1+Paramètres!$B$5)),"")</f>
        <v/>
      </c>
      <c r="AP181" s="30" t="str">
        <f aca="false">IF($A181="","",IF($Y181&lt;&gt;1,"INCOMPLET",IF(NOT(ISNUMBER($AM181)),"SANS RÉF. MARCHÉ",IF($AM181&lt;=Paramètres!$B$12,"OK",IF(AND($AO181&gt;=Paramètres!$B$15,$AN181&gt;=Paramètres!$B$16),"À REVOIR","NON RENTABLE")))))</f>
        <v/>
      </c>
      <c r="AQ181" s="18" t="str">
        <f aca="false">TRIM(IF(AND($Y181=1,ISNUMBER($N181)),IF($M181&lt;$N181,"MOQ ",""),"")&amp;IF(AND($Y181=1,ISNUMBER($O181)),IF($O181&lt;$I181*$M181,"DISPO ",""),"")&amp;IF($S181="O","FICTIF ","")&amp;IF($Y181=1,IF(AND($K181="TTC",$W181&lt;&gt;"CH"),"TVA-ÉTRANGÈRE ",""),""))</f>
        <v/>
      </c>
      <c r="AR181" s="18" t="str">
        <f aca="false">IF($Y181=1,COUNTIFS($A$6:$A$205,$A181,$AK$6:$AK$205,"&lt;"&amp;$AK181,$Y$6:$Y$205,1)+1,"")</f>
        <v/>
      </c>
      <c r="AS181" s="18" t="str">
        <f aca="false">IF(ISNUMBER($AR181),$A181&amp;"|"&amp;$AR181,"")</f>
        <v/>
      </c>
      <c r="AT181" s="27" t="str">
        <f aca="false">IF($Y181=1,$AK181*$I181*$M181,"")</f>
        <v/>
      </c>
    </row>
    <row r="182" customFormat="false" ht="15" hidden="false" customHeight="false" outlineLevel="0" collapsed="false">
      <c r="A182" s="9"/>
      <c r="B182" s="9"/>
      <c r="C182" s="9"/>
      <c r="D182" s="9"/>
      <c r="E182" s="9"/>
      <c r="F182" s="9"/>
      <c r="G182" s="9"/>
      <c r="H182" s="9"/>
      <c r="I182" s="9"/>
      <c r="J182" s="13"/>
      <c r="K182" s="9"/>
      <c r="L182" s="12"/>
      <c r="M182" s="9"/>
      <c r="N182" s="9"/>
      <c r="O182" s="9"/>
      <c r="P182" s="9"/>
      <c r="Q182" s="16"/>
      <c r="R182" s="13"/>
      <c r="S182" s="9"/>
      <c r="T182" s="18" t="str">
        <f aca="false">IF($C182="","",IFERROR(INDEX(Fournisseurs!$C$5:$C$24,MATCH($C182,Fournisseurs!$A$5:$A$24,0)),""))</f>
        <v/>
      </c>
      <c r="U182" s="25" t="str">
        <f aca="false">IF($C182="","",IFERROR(INDEX(Fournisseurs!$D$5:$D$24,MATCH($C182,Fournisseurs!$A$5:$A$24,0)),""))</f>
        <v/>
      </c>
      <c r="V182" s="26" t="str">
        <f aca="false">IF($C182="","",IFERROR(INDEX(Fournisseurs!$G$5:$G$24,MATCH($C182,Fournisseurs!$A$5:$A$24,0)),""))</f>
        <v/>
      </c>
      <c r="W182" s="18" t="str">
        <f aca="false">IF($C182="","",IFERROR(INDEX(Fournisseurs!$H$5:$H$24,MATCH($C182,Fournisseurs!$A$5:$A$24,0)),""))</f>
        <v/>
      </c>
      <c r="X182" s="18" t="str">
        <f aca="false">IF($C182="","",IFERROR(INDEX(Fournisseurs!$B$5:$B$24,MATCH($C182,Fournisseurs!$A$5:$A$24,0)),""))</f>
        <v/>
      </c>
      <c r="Y182" s="18" t="str">
        <f aca="false">IF($A182="","",IF(AND($A182&lt;&gt;"",$C182&lt;&gt;"",ISNUMBER($I182),ISNUMBER($J182),ISNUMBER($M182)),IF(AND($I182&gt;=1,$J182&gt;0,OR($K182="HT",$K182="TTC"),$M182&gt;=1,IFERROR(INDEX(Fournisseurs!$T$5:$T$24,MATCH($C182,Fournisseurs!$A$5:$A$24,0)),0)=1),1,0),0))</f>
        <v/>
      </c>
      <c r="Z182" s="27" t="str">
        <f aca="false">IF($Y182=1,$J182*(1-N($L182)),"")</f>
        <v/>
      </c>
      <c r="AA182" s="28" t="str">
        <f aca="false">IF($Y182=1,IF($K182="TTC",$Z182/(1+$V182),$Z182),"")</f>
        <v/>
      </c>
      <c r="AB182" s="28" t="str">
        <f aca="false">IF($Y182=1,IF($K182="TTC",$Z182-$AA182,$AA182*$V182),"")</f>
        <v/>
      </c>
      <c r="AC182" s="27" t="str">
        <f aca="false">IF($Y182=1,$AA182*$U182*$M182,"")</f>
        <v/>
      </c>
      <c r="AD182" s="26" t="str">
        <f aca="false">IF($Y182=1,$AC182/SUMIFS($AC$6:$AC$205,$C$6:$C$205,$C182,$Y$6:$Y$205,1),"")</f>
        <v/>
      </c>
      <c r="AE182" s="28" t="str">
        <f aca="false">IF($Y182=1,(INDEX(Fournisseurs!$J$5:$J$24,MATCH($C182,Fournisseurs!$A$5:$A$24,0))+INDEX(Fournisseurs!$K$5:$K$24,MATCH($C182,Fournisseurs!$A$5:$A$24,0)))*$U182*$AD182/($I182*$M182),"")</f>
        <v/>
      </c>
      <c r="AF182" s="28" t="str">
        <f aca="false">IF($Y182=1,INDEX(Fournisseurs!$L$5:$L$24,MATCH($C182,Fournisseurs!$A$5:$A$24,0))*$AD182/($I182*$M182),"")</f>
        <v/>
      </c>
      <c r="AG182" s="28" t="str">
        <f aca="false">IF($Y182=1,$AA182*$U182/$I182,"")</f>
        <v/>
      </c>
      <c r="AH182" s="28" t="str">
        <f aca="false">IF($Y182=1,$AB182*$U182/$I182,"")</f>
        <v/>
      </c>
      <c r="AI182" s="18" t="str">
        <f aca="false">IF($Y182=1,IF(AND(Paramètres!$B$4="EFFECTIVE",$W182="CH",$AB182&gt;0),1,0),"")</f>
        <v/>
      </c>
      <c r="AJ182" s="28" t="str">
        <f aca="false">IF($Y182=1,IF($X182&lt;&gt;"CH",($AG182+$AE182+$AF182)*Paramètres!$B$14,0),"")</f>
        <v/>
      </c>
      <c r="AK182" s="29" t="str">
        <f aca="false">IF($Y182=1,$AG182+IF($AI182=1,0,$AH182)+$AE182+$AF182+IF(Paramètres!$B$4="NOT_REGISTERED",$AJ182,0),"")</f>
        <v/>
      </c>
      <c r="AL182" s="27" t="str">
        <f aca="false">IF($Y182=1,($AK182+Paramètres!$B$7+Paramètres!$B$8+Paramètres!$B$9+Paramètres!$B$10)/((1-Paramètres!$B$11)/(1+Paramètres!$B$5)-Paramètres!$B$6),"")</f>
        <v/>
      </c>
      <c r="AM182" s="26" t="str">
        <f aca="false">IF(AND($Y182=1,ISNUMBER($R182)),IF($R182&gt;0,$AL182/$R182-1,""),"")</f>
        <v/>
      </c>
      <c r="AN182" s="27" t="str">
        <f aca="false">IF(AND($Y182=1,ISNUMBER($R182)),IF($R182&gt;0,$R182/(1+Paramètres!$B$5)-$AK182-($R182*Paramètres!$B$6+Paramètres!$B$7)-Paramètres!$B$8-Paramètres!$B$9-Paramètres!$B$10,""),"")</f>
        <v/>
      </c>
      <c r="AO182" s="26" t="str">
        <f aca="false">IF(ISNUMBER($AN182),$AN182/($R182/(1+Paramètres!$B$5)),"")</f>
        <v/>
      </c>
      <c r="AP182" s="30" t="str">
        <f aca="false">IF($A182="","",IF($Y182&lt;&gt;1,"INCOMPLET",IF(NOT(ISNUMBER($AM182)),"SANS RÉF. MARCHÉ",IF($AM182&lt;=Paramètres!$B$12,"OK",IF(AND($AO182&gt;=Paramètres!$B$15,$AN182&gt;=Paramètres!$B$16),"À REVOIR","NON RENTABLE")))))</f>
        <v/>
      </c>
      <c r="AQ182" s="18" t="str">
        <f aca="false">TRIM(IF(AND($Y182=1,ISNUMBER($N182)),IF($M182&lt;$N182,"MOQ ",""),"")&amp;IF(AND($Y182=1,ISNUMBER($O182)),IF($O182&lt;$I182*$M182,"DISPO ",""),"")&amp;IF($S182="O","FICTIF ","")&amp;IF($Y182=1,IF(AND($K182="TTC",$W182&lt;&gt;"CH"),"TVA-ÉTRANGÈRE ",""),""))</f>
        <v/>
      </c>
      <c r="AR182" s="18" t="str">
        <f aca="false">IF($Y182=1,COUNTIFS($A$6:$A$205,$A182,$AK$6:$AK$205,"&lt;"&amp;$AK182,$Y$6:$Y$205,1)+1,"")</f>
        <v/>
      </c>
      <c r="AS182" s="18" t="str">
        <f aca="false">IF(ISNUMBER($AR182),$A182&amp;"|"&amp;$AR182,"")</f>
        <v/>
      </c>
      <c r="AT182" s="27" t="str">
        <f aca="false">IF($Y182=1,$AK182*$I182*$M182,"")</f>
        <v/>
      </c>
    </row>
    <row r="183" customFormat="false" ht="15" hidden="false" customHeight="false" outlineLevel="0" collapsed="false">
      <c r="A183" s="9"/>
      <c r="B183" s="9"/>
      <c r="C183" s="9"/>
      <c r="D183" s="9"/>
      <c r="E183" s="9"/>
      <c r="F183" s="9"/>
      <c r="G183" s="9"/>
      <c r="H183" s="9"/>
      <c r="I183" s="9"/>
      <c r="J183" s="13"/>
      <c r="K183" s="9"/>
      <c r="L183" s="12"/>
      <c r="M183" s="9"/>
      <c r="N183" s="9"/>
      <c r="O183" s="9"/>
      <c r="P183" s="9"/>
      <c r="Q183" s="16"/>
      <c r="R183" s="13"/>
      <c r="S183" s="9"/>
      <c r="T183" s="18" t="str">
        <f aca="false">IF($C183="","",IFERROR(INDEX(Fournisseurs!$C$5:$C$24,MATCH($C183,Fournisseurs!$A$5:$A$24,0)),""))</f>
        <v/>
      </c>
      <c r="U183" s="25" t="str">
        <f aca="false">IF($C183="","",IFERROR(INDEX(Fournisseurs!$D$5:$D$24,MATCH($C183,Fournisseurs!$A$5:$A$24,0)),""))</f>
        <v/>
      </c>
      <c r="V183" s="26" t="str">
        <f aca="false">IF($C183="","",IFERROR(INDEX(Fournisseurs!$G$5:$G$24,MATCH($C183,Fournisseurs!$A$5:$A$24,0)),""))</f>
        <v/>
      </c>
      <c r="W183" s="18" t="str">
        <f aca="false">IF($C183="","",IFERROR(INDEX(Fournisseurs!$H$5:$H$24,MATCH($C183,Fournisseurs!$A$5:$A$24,0)),""))</f>
        <v/>
      </c>
      <c r="X183" s="18" t="str">
        <f aca="false">IF($C183="","",IFERROR(INDEX(Fournisseurs!$B$5:$B$24,MATCH($C183,Fournisseurs!$A$5:$A$24,0)),""))</f>
        <v/>
      </c>
      <c r="Y183" s="18" t="str">
        <f aca="false">IF($A183="","",IF(AND($A183&lt;&gt;"",$C183&lt;&gt;"",ISNUMBER($I183),ISNUMBER($J183),ISNUMBER($M183)),IF(AND($I183&gt;=1,$J183&gt;0,OR($K183="HT",$K183="TTC"),$M183&gt;=1,IFERROR(INDEX(Fournisseurs!$T$5:$T$24,MATCH($C183,Fournisseurs!$A$5:$A$24,0)),0)=1),1,0),0))</f>
        <v/>
      </c>
      <c r="Z183" s="27" t="str">
        <f aca="false">IF($Y183=1,$J183*(1-N($L183)),"")</f>
        <v/>
      </c>
      <c r="AA183" s="28" t="str">
        <f aca="false">IF($Y183=1,IF($K183="TTC",$Z183/(1+$V183),$Z183),"")</f>
        <v/>
      </c>
      <c r="AB183" s="28" t="str">
        <f aca="false">IF($Y183=1,IF($K183="TTC",$Z183-$AA183,$AA183*$V183),"")</f>
        <v/>
      </c>
      <c r="AC183" s="27" t="str">
        <f aca="false">IF($Y183=1,$AA183*$U183*$M183,"")</f>
        <v/>
      </c>
      <c r="AD183" s="26" t="str">
        <f aca="false">IF($Y183=1,$AC183/SUMIFS($AC$6:$AC$205,$C$6:$C$205,$C183,$Y$6:$Y$205,1),"")</f>
        <v/>
      </c>
      <c r="AE183" s="28" t="str">
        <f aca="false">IF($Y183=1,(INDEX(Fournisseurs!$J$5:$J$24,MATCH($C183,Fournisseurs!$A$5:$A$24,0))+INDEX(Fournisseurs!$K$5:$K$24,MATCH($C183,Fournisseurs!$A$5:$A$24,0)))*$U183*$AD183/($I183*$M183),"")</f>
        <v/>
      </c>
      <c r="AF183" s="28" t="str">
        <f aca="false">IF($Y183=1,INDEX(Fournisseurs!$L$5:$L$24,MATCH($C183,Fournisseurs!$A$5:$A$24,0))*$AD183/($I183*$M183),"")</f>
        <v/>
      </c>
      <c r="AG183" s="28" t="str">
        <f aca="false">IF($Y183=1,$AA183*$U183/$I183,"")</f>
        <v/>
      </c>
      <c r="AH183" s="28" t="str">
        <f aca="false">IF($Y183=1,$AB183*$U183/$I183,"")</f>
        <v/>
      </c>
      <c r="AI183" s="18" t="str">
        <f aca="false">IF($Y183=1,IF(AND(Paramètres!$B$4="EFFECTIVE",$W183="CH",$AB183&gt;0),1,0),"")</f>
        <v/>
      </c>
      <c r="AJ183" s="28" t="str">
        <f aca="false">IF($Y183=1,IF($X183&lt;&gt;"CH",($AG183+$AE183+$AF183)*Paramètres!$B$14,0),"")</f>
        <v/>
      </c>
      <c r="AK183" s="29" t="str">
        <f aca="false">IF($Y183=1,$AG183+IF($AI183=1,0,$AH183)+$AE183+$AF183+IF(Paramètres!$B$4="NOT_REGISTERED",$AJ183,0),"")</f>
        <v/>
      </c>
      <c r="AL183" s="27" t="str">
        <f aca="false">IF($Y183=1,($AK183+Paramètres!$B$7+Paramètres!$B$8+Paramètres!$B$9+Paramètres!$B$10)/((1-Paramètres!$B$11)/(1+Paramètres!$B$5)-Paramètres!$B$6),"")</f>
        <v/>
      </c>
      <c r="AM183" s="26" t="str">
        <f aca="false">IF(AND($Y183=1,ISNUMBER($R183)),IF($R183&gt;0,$AL183/$R183-1,""),"")</f>
        <v/>
      </c>
      <c r="AN183" s="27" t="str">
        <f aca="false">IF(AND($Y183=1,ISNUMBER($R183)),IF($R183&gt;0,$R183/(1+Paramètres!$B$5)-$AK183-($R183*Paramètres!$B$6+Paramètres!$B$7)-Paramètres!$B$8-Paramètres!$B$9-Paramètres!$B$10,""),"")</f>
        <v/>
      </c>
      <c r="AO183" s="26" t="str">
        <f aca="false">IF(ISNUMBER($AN183),$AN183/($R183/(1+Paramètres!$B$5)),"")</f>
        <v/>
      </c>
      <c r="AP183" s="30" t="str">
        <f aca="false">IF($A183="","",IF($Y183&lt;&gt;1,"INCOMPLET",IF(NOT(ISNUMBER($AM183)),"SANS RÉF. MARCHÉ",IF($AM183&lt;=Paramètres!$B$12,"OK",IF(AND($AO183&gt;=Paramètres!$B$15,$AN183&gt;=Paramètres!$B$16),"À REVOIR","NON RENTABLE")))))</f>
        <v/>
      </c>
      <c r="AQ183" s="18" t="str">
        <f aca="false">TRIM(IF(AND($Y183=1,ISNUMBER($N183)),IF($M183&lt;$N183,"MOQ ",""),"")&amp;IF(AND($Y183=1,ISNUMBER($O183)),IF($O183&lt;$I183*$M183,"DISPO ",""),"")&amp;IF($S183="O","FICTIF ","")&amp;IF($Y183=1,IF(AND($K183="TTC",$W183&lt;&gt;"CH"),"TVA-ÉTRANGÈRE ",""),""))</f>
        <v/>
      </c>
      <c r="AR183" s="18" t="str">
        <f aca="false">IF($Y183=1,COUNTIFS($A$6:$A$205,$A183,$AK$6:$AK$205,"&lt;"&amp;$AK183,$Y$6:$Y$205,1)+1,"")</f>
        <v/>
      </c>
      <c r="AS183" s="18" t="str">
        <f aca="false">IF(ISNUMBER($AR183),$A183&amp;"|"&amp;$AR183,"")</f>
        <v/>
      </c>
      <c r="AT183" s="27" t="str">
        <f aca="false">IF($Y183=1,$AK183*$I183*$M183,"")</f>
        <v/>
      </c>
    </row>
    <row r="184" customFormat="false" ht="15" hidden="false" customHeight="false" outlineLevel="0" collapsed="false">
      <c r="A184" s="9"/>
      <c r="B184" s="9"/>
      <c r="C184" s="9"/>
      <c r="D184" s="9"/>
      <c r="E184" s="9"/>
      <c r="F184" s="9"/>
      <c r="G184" s="9"/>
      <c r="H184" s="9"/>
      <c r="I184" s="9"/>
      <c r="J184" s="13"/>
      <c r="K184" s="9"/>
      <c r="L184" s="12"/>
      <c r="M184" s="9"/>
      <c r="N184" s="9"/>
      <c r="O184" s="9"/>
      <c r="P184" s="9"/>
      <c r="Q184" s="16"/>
      <c r="R184" s="13"/>
      <c r="S184" s="9"/>
      <c r="T184" s="18" t="str">
        <f aca="false">IF($C184="","",IFERROR(INDEX(Fournisseurs!$C$5:$C$24,MATCH($C184,Fournisseurs!$A$5:$A$24,0)),""))</f>
        <v/>
      </c>
      <c r="U184" s="25" t="str">
        <f aca="false">IF($C184="","",IFERROR(INDEX(Fournisseurs!$D$5:$D$24,MATCH($C184,Fournisseurs!$A$5:$A$24,0)),""))</f>
        <v/>
      </c>
      <c r="V184" s="26" t="str">
        <f aca="false">IF($C184="","",IFERROR(INDEX(Fournisseurs!$G$5:$G$24,MATCH($C184,Fournisseurs!$A$5:$A$24,0)),""))</f>
        <v/>
      </c>
      <c r="W184" s="18" t="str">
        <f aca="false">IF($C184="","",IFERROR(INDEX(Fournisseurs!$H$5:$H$24,MATCH($C184,Fournisseurs!$A$5:$A$24,0)),""))</f>
        <v/>
      </c>
      <c r="X184" s="18" t="str">
        <f aca="false">IF($C184="","",IFERROR(INDEX(Fournisseurs!$B$5:$B$24,MATCH($C184,Fournisseurs!$A$5:$A$24,0)),""))</f>
        <v/>
      </c>
      <c r="Y184" s="18" t="str">
        <f aca="false">IF($A184="","",IF(AND($A184&lt;&gt;"",$C184&lt;&gt;"",ISNUMBER($I184),ISNUMBER($J184),ISNUMBER($M184)),IF(AND($I184&gt;=1,$J184&gt;0,OR($K184="HT",$K184="TTC"),$M184&gt;=1,IFERROR(INDEX(Fournisseurs!$T$5:$T$24,MATCH($C184,Fournisseurs!$A$5:$A$24,0)),0)=1),1,0),0))</f>
        <v/>
      </c>
      <c r="Z184" s="27" t="str">
        <f aca="false">IF($Y184=1,$J184*(1-N($L184)),"")</f>
        <v/>
      </c>
      <c r="AA184" s="28" t="str">
        <f aca="false">IF($Y184=1,IF($K184="TTC",$Z184/(1+$V184),$Z184),"")</f>
        <v/>
      </c>
      <c r="AB184" s="28" t="str">
        <f aca="false">IF($Y184=1,IF($K184="TTC",$Z184-$AA184,$AA184*$V184),"")</f>
        <v/>
      </c>
      <c r="AC184" s="27" t="str">
        <f aca="false">IF($Y184=1,$AA184*$U184*$M184,"")</f>
        <v/>
      </c>
      <c r="AD184" s="26" t="str">
        <f aca="false">IF($Y184=1,$AC184/SUMIFS($AC$6:$AC$205,$C$6:$C$205,$C184,$Y$6:$Y$205,1),"")</f>
        <v/>
      </c>
      <c r="AE184" s="28" t="str">
        <f aca="false">IF($Y184=1,(INDEX(Fournisseurs!$J$5:$J$24,MATCH($C184,Fournisseurs!$A$5:$A$24,0))+INDEX(Fournisseurs!$K$5:$K$24,MATCH($C184,Fournisseurs!$A$5:$A$24,0)))*$U184*$AD184/($I184*$M184),"")</f>
        <v/>
      </c>
      <c r="AF184" s="28" t="str">
        <f aca="false">IF($Y184=1,INDEX(Fournisseurs!$L$5:$L$24,MATCH($C184,Fournisseurs!$A$5:$A$24,0))*$AD184/($I184*$M184),"")</f>
        <v/>
      </c>
      <c r="AG184" s="28" t="str">
        <f aca="false">IF($Y184=1,$AA184*$U184/$I184,"")</f>
        <v/>
      </c>
      <c r="AH184" s="28" t="str">
        <f aca="false">IF($Y184=1,$AB184*$U184/$I184,"")</f>
        <v/>
      </c>
      <c r="AI184" s="18" t="str">
        <f aca="false">IF($Y184=1,IF(AND(Paramètres!$B$4="EFFECTIVE",$W184="CH",$AB184&gt;0),1,0),"")</f>
        <v/>
      </c>
      <c r="AJ184" s="28" t="str">
        <f aca="false">IF($Y184=1,IF($X184&lt;&gt;"CH",($AG184+$AE184+$AF184)*Paramètres!$B$14,0),"")</f>
        <v/>
      </c>
      <c r="AK184" s="29" t="str">
        <f aca="false">IF($Y184=1,$AG184+IF($AI184=1,0,$AH184)+$AE184+$AF184+IF(Paramètres!$B$4="NOT_REGISTERED",$AJ184,0),"")</f>
        <v/>
      </c>
      <c r="AL184" s="27" t="str">
        <f aca="false">IF($Y184=1,($AK184+Paramètres!$B$7+Paramètres!$B$8+Paramètres!$B$9+Paramètres!$B$10)/((1-Paramètres!$B$11)/(1+Paramètres!$B$5)-Paramètres!$B$6),"")</f>
        <v/>
      </c>
      <c r="AM184" s="26" t="str">
        <f aca="false">IF(AND($Y184=1,ISNUMBER($R184)),IF($R184&gt;0,$AL184/$R184-1,""),"")</f>
        <v/>
      </c>
      <c r="AN184" s="27" t="str">
        <f aca="false">IF(AND($Y184=1,ISNUMBER($R184)),IF($R184&gt;0,$R184/(1+Paramètres!$B$5)-$AK184-($R184*Paramètres!$B$6+Paramètres!$B$7)-Paramètres!$B$8-Paramètres!$B$9-Paramètres!$B$10,""),"")</f>
        <v/>
      </c>
      <c r="AO184" s="26" t="str">
        <f aca="false">IF(ISNUMBER($AN184),$AN184/($R184/(1+Paramètres!$B$5)),"")</f>
        <v/>
      </c>
      <c r="AP184" s="30" t="str">
        <f aca="false">IF($A184="","",IF($Y184&lt;&gt;1,"INCOMPLET",IF(NOT(ISNUMBER($AM184)),"SANS RÉF. MARCHÉ",IF($AM184&lt;=Paramètres!$B$12,"OK",IF(AND($AO184&gt;=Paramètres!$B$15,$AN184&gt;=Paramètres!$B$16),"À REVOIR","NON RENTABLE")))))</f>
        <v/>
      </c>
      <c r="AQ184" s="18" t="str">
        <f aca="false">TRIM(IF(AND($Y184=1,ISNUMBER($N184)),IF($M184&lt;$N184,"MOQ ",""),"")&amp;IF(AND($Y184=1,ISNUMBER($O184)),IF($O184&lt;$I184*$M184,"DISPO ",""),"")&amp;IF($S184="O","FICTIF ","")&amp;IF($Y184=1,IF(AND($K184="TTC",$W184&lt;&gt;"CH"),"TVA-ÉTRANGÈRE ",""),""))</f>
        <v/>
      </c>
      <c r="AR184" s="18" t="str">
        <f aca="false">IF($Y184=1,COUNTIFS($A$6:$A$205,$A184,$AK$6:$AK$205,"&lt;"&amp;$AK184,$Y$6:$Y$205,1)+1,"")</f>
        <v/>
      </c>
      <c r="AS184" s="18" t="str">
        <f aca="false">IF(ISNUMBER($AR184),$A184&amp;"|"&amp;$AR184,"")</f>
        <v/>
      </c>
      <c r="AT184" s="27" t="str">
        <f aca="false">IF($Y184=1,$AK184*$I184*$M184,"")</f>
        <v/>
      </c>
    </row>
    <row r="185" customFormat="false" ht="15" hidden="false" customHeight="false" outlineLevel="0" collapsed="false">
      <c r="A185" s="9"/>
      <c r="B185" s="9"/>
      <c r="C185" s="9"/>
      <c r="D185" s="9"/>
      <c r="E185" s="9"/>
      <c r="F185" s="9"/>
      <c r="G185" s="9"/>
      <c r="H185" s="9"/>
      <c r="I185" s="9"/>
      <c r="J185" s="13"/>
      <c r="K185" s="9"/>
      <c r="L185" s="12"/>
      <c r="M185" s="9"/>
      <c r="N185" s="9"/>
      <c r="O185" s="9"/>
      <c r="P185" s="9"/>
      <c r="Q185" s="16"/>
      <c r="R185" s="13"/>
      <c r="S185" s="9"/>
      <c r="T185" s="18" t="str">
        <f aca="false">IF($C185="","",IFERROR(INDEX(Fournisseurs!$C$5:$C$24,MATCH($C185,Fournisseurs!$A$5:$A$24,0)),""))</f>
        <v/>
      </c>
      <c r="U185" s="25" t="str">
        <f aca="false">IF($C185="","",IFERROR(INDEX(Fournisseurs!$D$5:$D$24,MATCH($C185,Fournisseurs!$A$5:$A$24,0)),""))</f>
        <v/>
      </c>
      <c r="V185" s="26" t="str">
        <f aca="false">IF($C185="","",IFERROR(INDEX(Fournisseurs!$G$5:$G$24,MATCH($C185,Fournisseurs!$A$5:$A$24,0)),""))</f>
        <v/>
      </c>
      <c r="W185" s="18" t="str">
        <f aca="false">IF($C185="","",IFERROR(INDEX(Fournisseurs!$H$5:$H$24,MATCH($C185,Fournisseurs!$A$5:$A$24,0)),""))</f>
        <v/>
      </c>
      <c r="X185" s="18" t="str">
        <f aca="false">IF($C185="","",IFERROR(INDEX(Fournisseurs!$B$5:$B$24,MATCH($C185,Fournisseurs!$A$5:$A$24,0)),""))</f>
        <v/>
      </c>
      <c r="Y185" s="18" t="str">
        <f aca="false">IF($A185="","",IF(AND($A185&lt;&gt;"",$C185&lt;&gt;"",ISNUMBER($I185),ISNUMBER($J185),ISNUMBER($M185)),IF(AND($I185&gt;=1,$J185&gt;0,OR($K185="HT",$K185="TTC"),$M185&gt;=1,IFERROR(INDEX(Fournisseurs!$T$5:$T$24,MATCH($C185,Fournisseurs!$A$5:$A$24,0)),0)=1),1,0),0))</f>
        <v/>
      </c>
      <c r="Z185" s="27" t="str">
        <f aca="false">IF($Y185=1,$J185*(1-N($L185)),"")</f>
        <v/>
      </c>
      <c r="AA185" s="28" t="str">
        <f aca="false">IF($Y185=1,IF($K185="TTC",$Z185/(1+$V185),$Z185),"")</f>
        <v/>
      </c>
      <c r="AB185" s="28" t="str">
        <f aca="false">IF($Y185=1,IF($K185="TTC",$Z185-$AA185,$AA185*$V185),"")</f>
        <v/>
      </c>
      <c r="AC185" s="27" t="str">
        <f aca="false">IF($Y185=1,$AA185*$U185*$M185,"")</f>
        <v/>
      </c>
      <c r="AD185" s="26" t="str">
        <f aca="false">IF($Y185=1,$AC185/SUMIFS($AC$6:$AC$205,$C$6:$C$205,$C185,$Y$6:$Y$205,1),"")</f>
        <v/>
      </c>
      <c r="AE185" s="28" t="str">
        <f aca="false">IF($Y185=1,(INDEX(Fournisseurs!$J$5:$J$24,MATCH($C185,Fournisseurs!$A$5:$A$24,0))+INDEX(Fournisseurs!$K$5:$K$24,MATCH($C185,Fournisseurs!$A$5:$A$24,0)))*$U185*$AD185/($I185*$M185),"")</f>
        <v/>
      </c>
      <c r="AF185" s="28" t="str">
        <f aca="false">IF($Y185=1,INDEX(Fournisseurs!$L$5:$L$24,MATCH($C185,Fournisseurs!$A$5:$A$24,0))*$AD185/($I185*$M185),"")</f>
        <v/>
      </c>
      <c r="AG185" s="28" t="str">
        <f aca="false">IF($Y185=1,$AA185*$U185/$I185,"")</f>
        <v/>
      </c>
      <c r="AH185" s="28" t="str">
        <f aca="false">IF($Y185=1,$AB185*$U185/$I185,"")</f>
        <v/>
      </c>
      <c r="AI185" s="18" t="str">
        <f aca="false">IF($Y185=1,IF(AND(Paramètres!$B$4="EFFECTIVE",$W185="CH",$AB185&gt;0),1,0),"")</f>
        <v/>
      </c>
      <c r="AJ185" s="28" t="str">
        <f aca="false">IF($Y185=1,IF($X185&lt;&gt;"CH",($AG185+$AE185+$AF185)*Paramètres!$B$14,0),"")</f>
        <v/>
      </c>
      <c r="AK185" s="29" t="str">
        <f aca="false">IF($Y185=1,$AG185+IF($AI185=1,0,$AH185)+$AE185+$AF185+IF(Paramètres!$B$4="NOT_REGISTERED",$AJ185,0),"")</f>
        <v/>
      </c>
      <c r="AL185" s="27" t="str">
        <f aca="false">IF($Y185=1,($AK185+Paramètres!$B$7+Paramètres!$B$8+Paramètres!$B$9+Paramètres!$B$10)/((1-Paramètres!$B$11)/(1+Paramètres!$B$5)-Paramètres!$B$6),"")</f>
        <v/>
      </c>
      <c r="AM185" s="26" t="str">
        <f aca="false">IF(AND($Y185=1,ISNUMBER($R185)),IF($R185&gt;0,$AL185/$R185-1,""),"")</f>
        <v/>
      </c>
      <c r="AN185" s="27" t="str">
        <f aca="false">IF(AND($Y185=1,ISNUMBER($R185)),IF($R185&gt;0,$R185/(1+Paramètres!$B$5)-$AK185-($R185*Paramètres!$B$6+Paramètres!$B$7)-Paramètres!$B$8-Paramètres!$B$9-Paramètres!$B$10,""),"")</f>
        <v/>
      </c>
      <c r="AO185" s="26" t="str">
        <f aca="false">IF(ISNUMBER($AN185),$AN185/($R185/(1+Paramètres!$B$5)),"")</f>
        <v/>
      </c>
      <c r="AP185" s="30" t="str">
        <f aca="false">IF($A185="","",IF($Y185&lt;&gt;1,"INCOMPLET",IF(NOT(ISNUMBER($AM185)),"SANS RÉF. MARCHÉ",IF($AM185&lt;=Paramètres!$B$12,"OK",IF(AND($AO185&gt;=Paramètres!$B$15,$AN185&gt;=Paramètres!$B$16),"À REVOIR","NON RENTABLE")))))</f>
        <v/>
      </c>
      <c r="AQ185" s="18" t="str">
        <f aca="false">TRIM(IF(AND($Y185=1,ISNUMBER($N185)),IF($M185&lt;$N185,"MOQ ",""),"")&amp;IF(AND($Y185=1,ISNUMBER($O185)),IF($O185&lt;$I185*$M185,"DISPO ",""),"")&amp;IF($S185="O","FICTIF ","")&amp;IF($Y185=1,IF(AND($K185="TTC",$W185&lt;&gt;"CH"),"TVA-ÉTRANGÈRE ",""),""))</f>
        <v/>
      </c>
      <c r="AR185" s="18" t="str">
        <f aca="false">IF($Y185=1,COUNTIFS($A$6:$A$205,$A185,$AK$6:$AK$205,"&lt;"&amp;$AK185,$Y$6:$Y$205,1)+1,"")</f>
        <v/>
      </c>
      <c r="AS185" s="18" t="str">
        <f aca="false">IF(ISNUMBER($AR185),$A185&amp;"|"&amp;$AR185,"")</f>
        <v/>
      </c>
      <c r="AT185" s="27" t="str">
        <f aca="false">IF($Y185=1,$AK185*$I185*$M185,"")</f>
        <v/>
      </c>
    </row>
    <row r="186" customFormat="false" ht="15" hidden="false" customHeight="false" outlineLevel="0" collapsed="false">
      <c r="A186" s="9"/>
      <c r="B186" s="9"/>
      <c r="C186" s="9"/>
      <c r="D186" s="9"/>
      <c r="E186" s="9"/>
      <c r="F186" s="9"/>
      <c r="G186" s="9"/>
      <c r="H186" s="9"/>
      <c r="I186" s="9"/>
      <c r="J186" s="13"/>
      <c r="K186" s="9"/>
      <c r="L186" s="12"/>
      <c r="M186" s="9"/>
      <c r="N186" s="9"/>
      <c r="O186" s="9"/>
      <c r="P186" s="9"/>
      <c r="Q186" s="16"/>
      <c r="R186" s="13"/>
      <c r="S186" s="9"/>
      <c r="T186" s="18" t="str">
        <f aca="false">IF($C186="","",IFERROR(INDEX(Fournisseurs!$C$5:$C$24,MATCH($C186,Fournisseurs!$A$5:$A$24,0)),""))</f>
        <v/>
      </c>
      <c r="U186" s="25" t="str">
        <f aca="false">IF($C186="","",IFERROR(INDEX(Fournisseurs!$D$5:$D$24,MATCH($C186,Fournisseurs!$A$5:$A$24,0)),""))</f>
        <v/>
      </c>
      <c r="V186" s="26" t="str">
        <f aca="false">IF($C186="","",IFERROR(INDEX(Fournisseurs!$G$5:$G$24,MATCH($C186,Fournisseurs!$A$5:$A$24,0)),""))</f>
        <v/>
      </c>
      <c r="W186" s="18" t="str">
        <f aca="false">IF($C186="","",IFERROR(INDEX(Fournisseurs!$H$5:$H$24,MATCH($C186,Fournisseurs!$A$5:$A$24,0)),""))</f>
        <v/>
      </c>
      <c r="X186" s="18" t="str">
        <f aca="false">IF($C186="","",IFERROR(INDEX(Fournisseurs!$B$5:$B$24,MATCH($C186,Fournisseurs!$A$5:$A$24,0)),""))</f>
        <v/>
      </c>
      <c r="Y186" s="18" t="str">
        <f aca="false">IF($A186="","",IF(AND($A186&lt;&gt;"",$C186&lt;&gt;"",ISNUMBER($I186),ISNUMBER($J186),ISNUMBER($M186)),IF(AND($I186&gt;=1,$J186&gt;0,OR($K186="HT",$K186="TTC"),$M186&gt;=1,IFERROR(INDEX(Fournisseurs!$T$5:$T$24,MATCH($C186,Fournisseurs!$A$5:$A$24,0)),0)=1),1,0),0))</f>
        <v/>
      </c>
      <c r="Z186" s="27" t="str">
        <f aca="false">IF($Y186=1,$J186*(1-N($L186)),"")</f>
        <v/>
      </c>
      <c r="AA186" s="28" t="str">
        <f aca="false">IF($Y186=1,IF($K186="TTC",$Z186/(1+$V186),$Z186),"")</f>
        <v/>
      </c>
      <c r="AB186" s="28" t="str">
        <f aca="false">IF($Y186=1,IF($K186="TTC",$Z186-$AA186,$AA186*$V186),"")</f>
        <v/>
      </c>
      <c r="AC186" s="27" t="str">
        <f aca="false">IF($Y186=1,$AA186*$U186*$M186,"")</f>
        <v/>
      </c>
      <c r="AD186" s="26" t="str">
        <f aca="false">IF($Y186=1,$AC186/SUMIFS($AC$6:$AC$205,$C$6:$C$205,$C186,$Y$6:$Y$205,1),"")</f>
        <v/>
      </c>
      <c r="AE186" s="28" t="str">
        <f aca="false">IF($Y186=1,(INDEX(Fournisseurs!$J$5:$J$24,MATCH($C186,Fournisseurs!$A$5:$A$24,0))+INDEX(Fournisseurs!$K$5:$K$24,MATCH($C186,Fournisseurs!$A$5:$A$24,0)))*$U186*$AD186/($I186*$M186),"")</f>
        <v/>
      </c>
      <c r="AF186" s="28" t="str">
        <f aca="false">IF($Y186=1,INDEX(Fournisseurs!$L$5:$L$24,MATCH($C186,Fournisseurs!$A$5:$A$24,0))*$AD186/($I186*$M186),"")</f>
        <v/>
      </c>
      <c r="AG186" s="28" t="str">
        <f aca="false">IF($Y186=1,$AA186*$U186/$I186,"")</f>
        <v/>
      </c>
      <c r="AH186" s="28" t="str">
        <f aca="false">IF($Y186=1,$AB186*$U186/$I186,"")</f>
        <v/>
      </c>
      <c r="AI186" s="18" t="str">
        <f aca="false">IF($Y186=1,IF(AND(Paramètres!$B$4="EFFECTIVE",$W186="CH",$AB186&gt;0),1,0),"")</f>
        <v/>
      </c>
      <c r="AJ186" s="28" t="str">
        <f aca="false">IF($Y186=1,IF($X186&lt;&gt;"CH",($AG186+$AE186+$AF186)*Paramètres!$B$14,0),"")</f>
        <v/>
      </c>
      <c r="AK186" s="29" t="str">
        <f aca="false">IF($Y186=1,$AG186+IF($AI186=1,0,$AH186)+$AE186+$AF186+IF(Paramètres!$B$4="NOT_REGISTERED",$AJ186,0),"")</f>
        <v/>
      </c>
      <c r="AL186" s="27" t="str">
        <f aca="false">IF($Y186=1,($AK186+Paramètres!$B$7+Paramètres!$B$8+Paramètres!$B$9+Paramètres!$B$10)/((1-Paramètres!$B$11)/(1+Paramètres!$B$5)-Paramètres!$B$6),"")</f>
        <v/>
      </c>
      <c r="AM186" s="26" t="str">
        <f aca="false">IF(AND($Y186=1,ISNUMBER($R186)),IF($R186&gt;0,$AL186/$R186-1,""),"")</f>
        <v/>
      </c>
      <c r="AN186" s="27" t="str">
        <f aca="false">IF(AND($Y186=1,ISNUMBER($R186)),IF($R186&gt;0,$R186/(1+Paramètres!$B$5)-$AK186-($R186*Paramètres!$B$6+Paramètres!$B$7)-Paramètres!$B$8-Paramètres!$B$9-Paramètres!$B$10,""),"")</f>
        <v/>
      </c>
      <c r="AO186" s="26" t="str">
        <f aca="false">IF(ISNUMBER($AN186),$AN186/($R186/(1+Paramètres!$B$5)),"")</f>
        <v/>
      </c>
      <c r="AP186" s="30" t="str">
        <f aca="false">IF($A186="","",IF($Y186&lt;&gt;1,"INCOMPLET",IF(NOT(ISNUMBER($AM186)),"SANS RÉF. MARCHÉ",IF($AM186&lt;=Paramètres!$B$12,"OK",IF(AND($AO186&gt;=Paramètres!$B$15,$AN186&gt;=Paramètres!$B$16),"À REVOIR","NON RENTABLE")))))</f>
        <v/>
      </c>
      <c r="AQ186" s="18" t="str">
        <f aca="false">TRIM(IF(AND($Y186=1,ISNUMBER($N186)),IF($M186&lt;$N186,"MOQ ",""),"")&amp;IF(AND($Y186=1,ISNUMBER($O186)),IF($O186&lt;$I186*$M186,"DISPO ",""),"")&amp;IF($S186="O","FICTIF ","")&amp;IF($Y186=1,IF(AND($K186="TTC",$W186&lt;&gt;"CH"),"TVA-ÉTRANGÈRE ",""),""))</f>
        <v/>
      </c>
      <c r="AR186" s="18" t="str">
        <f aca="false">IF($Y186=1,COUNTIFS($A$6:$A$205,$A186,$AK$6:$AK$205,"&lt;"&amp;$AK186,$Y$6:$Y$205,1)+1,"")</f>
        <v/>
      </c>
      <c r="AS186" s="18" t="str">
        <f aca="false">IF(ISNUMBER($AR186),$A186&amp;"|"&amp;$AR186,"")</f>
        <v/>
      </c>
      <c r="AT186" s="27" t="str">
        <f aca="false">IF($Y186=1,$AK186*$I186*$M186,"")</f>
        <v/>
      </c>
    </row>
    <row r="187" customFormat="false" ht="15" hidden="false" customHeight="false" outlineLevel="0" collapsed="false">
      <c r="A187" s="9"/>
      <c r="B187" s="9"/>
      <c r="C187" s="9"/>
      <c r="D187" s="9"/>
      <c r="E187" s="9"/>
      <c r="F187" s="9"/>
      <c r="G187" s="9"/>
      <c r="H187" s="9"/>
      <c r="I187" s="9"/>
      <c r="J187" s="13"/>
      <c r="K187" s="9"/>
      <c r="L187" s="12"/>
      <c r="M187" s="9"/>
      <c r="N187" s="9"/>
      <c r="O187" s="9"/>
      <c r="P187" s="9"/>
      <c r="Q187" s="16"/>
      <c r="R187" s="13"/>
      <c r="S187" s="9"/>
      <c r="T187" s="18" t="str">
        <f aca="false">IF($C187="","",IFERROR(INDEX(Fournisseurs!$C$5:$C$24,MATCH($C187,Fournisseurs!$A$5:$A$24,0)),""))</f>
        <v/>
      </c>
      <c r="U187" s="25" t="str">
        <f aca="false">IF($C187="","",IFERROR(INDEX(Fournisseurs!$D$5:$D$24,MATCH($C187,Fournisseurs!$A$5:$A$24,0)),""))</f>
        <v/>
      </c>
      <c r="V187" s="26" t="str">
        <f aca="false">IF($C187="","",IFERROR(INDEX(Fournisseurs!$G$5:$G$24,MATCH($C187,Fournisseurs!$A$5:$A$24,0)),""))</f>
        <v/>
      </c>
      <c r="W187" s="18" t="str">
        <f aca="false">IF($C187="","",IFERROR(INDEX(Fournisseurs!$H$5:$H$24,MATCH($C187,Fournisseurs!$A$5:$A$24,0)),""))</f>
        <v/>
      </c>
      <c r="X187" s="18" t="str">
        <f aca="false">IF($C187="","",IFERROR(INDEX(Fournisseurs!$B$5:$B$24,MATCH($C187,Fournisseurs!$A$5:$A$24,0)),""))</f>
        <v/>
      </c>
      <c r="Y187" s="18" t="str">
        <f aca="false">IF($A187="","",IF(AND($A187&lt;&gt;"",$C187&lt;&gt;"",ISNUMBER($I187),ISNUMBER($J187),ISNUMBER($M187)),IF(AND($I187&gt;=1,$J187&gt;0,OR($K187="HT",$K187="TTC"),$M187&gt;=1,IFERROR(INDEX(Fournisseurs!$T$5:$T$24,MATCH($C187,Fournisseurs!$A$5:$A$24,0)),0)=1),1,0),0))</f>
        <v/>
      </c>
      <c r="Z187" s="27" t="str">
        <f aca="false">IF($Y187=1,$J187*(1-N($L187)),"")</f>
        <v/>
      </c>
      <c r="AA187" s="28" t="str">
        <f aca="false">IF($Y187=1,IF($K187="TTC",$Z187/(1+$V187),$Z187),"")</f>
        <v/>
      </c>
      <c r="AB187" s="28" t="str">
        <f aca="false">IF($Y187=1,IF($K187="TTC",$Z187-$AA187,$AA187*$V187),"")</f>
        <v/>
      </c>
      <c r="AC187" s="27" t="str">
        <f aca="false">IF($Y187=1,$AA187*$U187*$M187,"")</f>
        <v/>
      </c>
      <c r="AD187" s="26" t="str">
        <f aca="false">IF($Y187=1,$AC187/SUMIFS($AC$6:$AC$205,$C$6:$C$205,$C187,$Y$6:$Y$205,1),"")</f>
        <v/>
      </c>
      <c r="AE187" s="28" t="str">
        <f aca="false">IF($Y187=1,(INDEX(Fournisseurs!$J$5:$J$24,MATCH($C187,Fournisseurs!$A$5:$A$24,0))+INDEX(Fournisseurs!$K$5:$K$24,MATCH($C187,Fournisseurs!$A$5:$A$24,0)))*$U187*$AD187/($I187*$M187),"")</f>
        <v/>
      </c>
      <c r="AF187" s="28" t="str">
        <f aca="false">IF($Y187=1,INDEX(Fournisseurs!$L$5:$L$24,MATCH($C187,Fournisseurs!$A$5:$A$24,0))*$AD187/($I187*$M187),"")</f>
        <v/>
      </c>
      <c r="AG187" s="28" t="str">
        <f aca="false">IF($Y187=1,$AA187*$U187/$I187,"")</f>
        <v/>
      </c>
      <c r="AH187" s="28" t="str">
        <f aca="false">IF($Y187=1,$AB187*$U187/$I187,"")</f>
        <v/>
      </c>
      <c r="AI187" s="18" t="str">
        <f aca="false">IF($Y187=1,IF(AND(Paramètres!$B$4="EFFECTIVE",$W187="CH",$AB187&gt;0),1,0),"")</f>
        <v/>
      </c>
      <c r="AJ187" s="28" t="str">
        <f aca="false">IF($Y187=1,IF($X187&lt;&gt;"CH",($AG187+$AE187+$AF187)*Paramètres!$B$14,0),"")</f>
        <v/>
      </c>
      <c r="AK187" s="29" t="str">
        <f aca="false">IF($Y187=1,$AG187+IF($AI187=1,0,$AH187)+$AE187+$AF187+IF(Paramètres!$B$4="NOT_REGISTERED",$AJ187,0),"")</f>
        <v/>
      </c>
      <c r="AL187" s="27" t="str">
        <f aca="false">IF($Y187=1,($AK187+Paramètres!$B$7+Paramètres!$B$8+Paramètres!$B$9+Paramètres!$B$10)/((1-Paramètres!$B$11)/(1+Paramètres!$B$5)-Paramètres!$B$6),"")</f>
        <v/>
      </c>
      <c r="AM187" s="26" t="str">
        <f aca="false">IF(AND($Y187=1,ISNUMBER($R187)),IF($R187&gt;0,$AL187/$R187-1,""),"")</f>
        <v/>
      </c>
      <c r="AN187" s="27" t="str">
        <f aca="false">IF(AND($Y187=1,ISNUMBER($R187)),IF($R187&gt;0,$R187/(1+Paramètres!$B$5)-$AK187-($R187*Paramètres!$B$6+Paramètres!$B$7)-Paramètres!$B$8-Paramètres!$B$9-Paramètres!$B$10,""),"")</f>
        <v/>
      </c>
      <c r="AO187" s="26" t="str">
        <f aca="false">IF(ISNUMBER($AN187),$AN187/($R187/(1+Paramètres!$B$5)),"")</f>
        <v/>
      </c>
      <c r="AP187" s="30" t="str">
        <f aca="false">IF($A187="","",IF($Y187&lt;&gt;1,"INCOMPLET",IF(NOT(ISNUMBER($AM187)),"SANS RÉF. MARCHÉ",IF($AM187&lt;=Paramètres!$B$12,"OK",IF(AND($AO187&gt;=Paramètres!$B$15,$AN187&gt;=Paramètres!$B$16),"À REVOIR","NON RENTABLE")))))</f>
        <v/>
      </c>
      <c r="AQ187" s="18" t="str">
        <f aca="false">TRIM(IF(AND($Y187=1,ISNUMBER($N187)),IF($M187&lt;$N187,"MOQ ",""),"")&amp;IF(AND($Y187=1,ISNUMBER($O187)),IF($O187&lt;$I187*$M187,"DISPO ",""),"")&amp;IF($S187="O","FICTIF ","")&amp;IF($Y187=1,IF(AND($K187="TTC",$W187&lt;&gt;"CH"),"TVA-ÉTRANGÈRE ",""),""))</f>
        <v/>
      </c>
      <c r="AR187" s="18" t="str">
        <f aca="false">IF($Y187=1,COUNTIFS($A$6:$A$205,$A187,$AK$6:$AK$205,"&lt;"&amp;$AK187,$Y$6:$Y$205,1)+1,"")</f>
        <v/>
      </c>
      <c r="AS187" s="18" t="str">
        <f aca="false">IF(ISNUMBER($AR187),$A187&amp;"|"&amp;$AR187,"")</f>
        <v/>
      </c>
      <c r="AT187" s="27" t="str">
        <f aca="false">IF($Y187=1,$AK187*$I187*$M187,"")</f>
        <v/>
      </c>
    </row>
    <row r="188" customFormat="false" ht="15" hidden="false" customHeight="false" outlineLevel="0" collapsed="false">
      <c r="A188" s="9"/>
      <c r="B188" s="9"/>
      <c r="C188" s="9"/>
      <c r="D188" s="9"/>
      <c r="E188" s="9"/>
      <c r="F188" s="9"/>
      <c r="G188" s="9"/>
      <c r="H188" s="9"/>
      <c r="I188" s="9"/>
      <c r="J188" s="13"/>
      <c r="K188" s="9"/>
      <c r="L188" s="12"/>
      <c r="M188" s="9"/>
      <c r="N188" s="9"/>
      <c r="O188" s="9"/>
      <c r="P188" s="9"/>
      <c r="Q188" s="16"/>
      <c r="R188" s="13"/>
      <c r="S188" s="9"/>
      <c r="T188" s="18" t="str">
        <f aca="false">IF($C188="","",IFERROR(INDEX(Fournisseurs!$C$5:$C$24,MATCH($C188,Fournisseurs!$A$5:$A$24,0)),""))</f>
        <v/>
      </c>
      <c r="U188" s="25" t="str">
        <f aca="false">IF($C188="","",IFERROR(INDEX(Fournisseurs!$D$5:$D$24,MATCH($C188,Fournisseurs!$A$5:$A$24,0)),""))</f>
        <v/>
      </c>
      <c r="V188" s="26" t="str">
        <f aca="false">IF($C188="","",IFERROR(INDEX(Fournisseurs!$G$5:$G$24,MATCH($C188,Fournisseurs!$A$5:$A$24,0)),""))</f>
        <v/>
      </c>
      <c r="W188" s="18" t="str">
        <f aca="false">IF($C188="","",IFERROR(INDEX(Fournisseurs!$H$5:$H$24,MATCH($C188,Fournisseurs!$A$5:$A$24,0)),""))</f>
        <v/>
      </c>
      <c r="X188" s="18" t="str">
        <f aca="false">IF($C188="","",IFERROR(INDEX(Fournisseurs!$B$5:$B$24,MATCH($C188,Fournisseurs!$A$5:$A$24,0)),""))</f>
        <v/>
      </c>
      <c r="Y188" s="18" t="str">
        <f aca="false">IF($A188="","",IF(AND($A188&lt;&gt;"",$C188&lt;&gt;"",ISNUMBER($I188),ISNUMBER($J188),ISNUMBER($M188)),IF(AND($I188&gt;=1,$J188&gt;0,OR($K188="HT",$K188="TTC"),$M188&gt;=1,IFERROR(INDEX(Fournisseurs!$T$5:$T$24,MATCH($C188,Fournisseurs!$A$5:$A$24,0)),0)=1),1,0),0))</f>
        <v/>
      </c>
      <c r="Z188" s="27" t="str">
        <f aca="false">IF($Y188=1,$J188*(1-N($L188)),"")</f>
        <v/>
      </c>
      <c r="AA188" s="28" t="str">
        <f aca="false">IF($Y188=1,IF($K188="TTC",$Z188/(1+$V188),$Z188),"")</f>
        <v/>
      </c>
      <c r="AB188" s="28" t="str">
        <f aca="false">IF($Y188=1,IF($K188="TTC",$Z188-$AA188,$AA188*$V188),"")</f>
        <v/>
      </c>
      <c r="AC188" s="27" t="str">
        <f aca="false">IF($Y188=1,$AA188*$U188*$M188,"")</f>
        <v/>
      </c>
      <c r="AD188" s="26" t="str">
        <f aca="false">IF($Y188=1,$AC188/SUMIFS($AC$6:$AC$205,$C$6:$C$205,$C188,$Y$6:$Y$205,1),"")</f>
        <v/>
      </c>
      <c r="AE188" s="28" t="str">
        <f aca="false">IF($Y188=1,(INDEX(Fournisseurs!$J$5:$J$24,MATCH($C188,Fournisseurs!$A$5:$A$24,0))+INDEX(Fournisseurs!$K$5:$K$24,MATCH($C188,Fournisseurs!$A$5:$A$24,0)))*$U188*$AD188/($I188*$M188),"")</f>
        <v/>
      </c>
      <c r="AF188" s="28" t="str">
        <f aca="false">IF($Y188=1,INDEX(Fournisseurs!$L$5:$L$24,MATCH($C188,Fournisseurs!$A$5:$A$24,0))*$AD188/($I188*$M188),"")</f>
        <v/>
      </c>
      <c r="AG188" s="28" t="str">
        <f aca="false">IF($Y188=1,$AA188*$U188/$I188,"")</f>
        <v/>
      </c>
      <c r="AH188" s="28" t="str">
        <f aca="false">IF($Y188=1,$AB188*$U188/$I188,"")</f>
        <v/>
      </c>
      <c r="AI188" s="18" t="str">
        <f aca="false">IF($Y188=1,IF(AND(Paramètres!$B$4="EFFECTIVE",$W188="CH",$AB188&gt;0),1,0),"")</f>
        <v/>
      </c>
      <c r="AJ188" s="28" t="str">
        <f aca="false">IF($Y188=1,IF($X188&lt;&gt;"CH",($AG188+$AE188+$AF188)*Paramètres!$B$14,0),"")</f>
        <v/>
      </c>
      <c r="AK188" s="29" t="str">
        <f aca="false">IF($Y188=1,$AG188+IF($AI188=1,0,$AH188)+$AE188+$AF188+IF(Paramètres!$B$4="NOT_REGISTERED",$AJ188,0),"")</f>
        <v/>
      </c>
      <c r="AL188" s="27" t="str">
        <f aca="false">IF($Y188=1,($AK188+Paramètres!$B$7+Paramètres!$B$8+Paramètres!$B$9+Paramètres!$B$10)/((1-Paramètres!$B$11)/(1+Paramètres!$B$5)-Paramètres!$B$6),"")</f>
        <v/>
      </c>
      <c r="AM188" s="26" t="str">
        <f aca="false">IF(AND($Y188=1,ISNUMBER($R188)),IF($R188&gt;0,$AL188/$R188-1,""),"")</f>
        <v/>
      </c>
      <c r="AN188" s="27" t="str">
        <f aca="false">IF(AND($Y188=1,ISNUMBER($R188)),IF($R188&gt;0,$R188/(1+Paramètres!$B$5)-$AK188-($R188*Paramètres!$B$6+Paramètres!$B$7)-Paramètres!$B$8-Paramètres!$B$9-Paramètres!$B$10,""),"")</f>
        <v/>
      </c>
      <c r="AO188" s="26" t="str">
        <f aca="false">IF(ISNUMBER($AN188),$AN188/($R188/(1+Paramètres!$B$5)),"")</f>
        <v/>
      </c>
      <c r="AP188" s="30" t="str">
        <f aca="false">IF($A188="","",IF($Y188&lt;&gt;1,"INCOMPLET",IF(NOT(ISNUMBER($AM188)),"SANS RÉF. MARCHÉ",IF($AM188&lt;=Paramètres!$B$12,"OK",IF(AND($AO188&gt;=Paramètres!$B$15,$AN188&gt;=Paramètres!$B$16),"À REVOIR","NON RENTABLE")))))</f>
        <v/>
      </c>
      <c r="AQ188" s="18" t="str">
        <f aca="false">TRIM(IF(AND($Y188=1,ISNUMBER($N188)),IF($M188&lt;$N188,"MOQ ",""),"")&amp;IF(AND($Y188=1,ISNUMBER($O188)),IF($O188&lt;$I188*$M188,"DISPO ",""),"")&amp;IF($S188="O","FICTIF ","")&amp;IF($Y188=1,IF(AND($K188="TTC",$W188&lt;&gt;"CH"),"TVA-ÉTRANGÈRE ",""),""))</f>
        <v/>
      </c>
      <c r="AR188" s="18" t="str">
        <f aca="false">IF($Y188=1,COUNTIFS($A$6:$A$205,$A188,$AK$6:$AK$205,"&lt;"&amp;$AK188,$Y$6:$Y$205,1)+1,"")</f>
        <v/>
      </c>
      <c r="AS188" s="18" t="str">
        <f aca="false">IF(ISNUMBER($AR188),$A188&amp;"|"&amp;$AR188,"")</f>
        <v/>
      </c>
      <c r="AT188" s="27" t="str">
        <f aca="false">IF($Y188=1,$AK188*$I188*$M188,"")</f>
        <v/>
      </c>
    </row>
    <row r="189" customFormat="false" ht="15" hidden="false" customHeight="false" outlineLevel="0" collapsed="false">
      <c r="A189" s="9"/>
      <c r="B189" s="9"/>
      <c r="C189" s="9"/>
      <c r="D189" s="9"/>
      <c r="E189" s="9"/>
      <c r="F189" s="9"/>
      <c r="G189" s="9"/>
      <c r="H189" s="9"/>
      <c r="I189" s="9"/>
      <c r="J189" s="13"/>
      <c r="K189" s="9"/>
      <c r="L189" s="12"/>
      <c r="M189" s="9"/>
      <c r="N189" s="9"/>
      <c r="O189" s="9"/>
      <c r="P189" s="9"/>
      <c r="Q189" s="16"/>
      <c r="R189" s="13"/>
      <c r="S189" s="9"/>
      <c r="T189" s="18" t="str">
        <f aca="false">IF($C189="","",IFERROR(INDEX(Fournisseurs!$C$5:$C$24,MATCH($C189,Fournisseurs!$A$5:$A$24,0)),""))</f>
        <v/>
      </c>
      <c r="U189" s="25" t="str">
        <f aca="false">IF($C189="","",IFERROR(INDEX(Fournisseurs!$D$5:$D$24,MATCH($C189,Fournisseurs!$A$5:$A$24,0)),""))</f>
        <v/>
      </c>
      <c r="V189" s="26" t="str">
        <f aca="false">IF($C189="","",IFERROR(INDEX(Fournisseurs!$G$5:$G$24,MATCH($C189,Fournisseurs!$A$5:$A$24,0)),""))</f>
        <v/>
      </c>
      <c r="W189" s="18" t="str">
        <f aca="false">IF($C189="","",IFERROR(INDEX(Fournisseurs!$H$5:$H$24,MATCH($C189,Fournisseurs!$A$5:$A$24,0)),""))</f>
        <v/>
      </c>
      <c r="X189" s="18" t="str">
        <f aca="false">IF($C189="","",IFERROR(INDEX(Fournisseurs!$B$5:$B$24,MATCH($C189,Fournisseurs!$A$5:$A$24,0)),""))</f>
        <v/>
      </c>
      <c r="Y189" s="18" t="str">
        <f aca="false">IF($A189="","",IF(AND($A189&lt;&gt;"",$C189&lt;&gt;"",ISNUMBER($I189),ISNUMBER($J189),ISNUMBER($M189)),IF(AND($I189&gt;=1,$J189&gt;0,OR($K189="HT",$K189="TTC"),$M189&gt;=1,IFERROR(INDEX(Fournisseurs!$T$5:$T$24,MATCH($C189,Fournisseurs!$A$5:$A$24,0)),0)=1),1,0),0))</f>
        <v/>
      </c>
      <c r="Z189" s="27" t="str">
        <f aca="false">IF($Y189=1,$J189*(1-N($L189)),"")</f>
        <v/>
      </c>
      <c r="AA189" s="28" t="str">
        <f aca="false">IF($Y189=1,IF($K189="TTC",$Z189/(1+$V189),$Z189),"")</f>
        <v/>
      </c>
      <c r="AB189" s="28" t="str">
        <f aca="false">IF($Y189=1,IF($K189="TTC",$Z189-$AA189,$AA189*$V189),"")</f>
        <v/>
      </c>
      <c r="AC189" s="27" t="str">
        <f aca="false">IF($Y189=1,$AA189*$U189*$M189,"")</f>
        <v/>
      </c>
      <c r="AD189" s="26" t="str">
        <f aca="false">IF($Y189=1,$AC189/SUMIFS($AC$6:$AC$205,$C$6:$C$205,$C189,$Y$6:$Y$205,1),"")</f>
        <v/>
      </c>
      <c r="AE189" s="28" t="str">
        <f aca="false">IF($Y189=1,(INDEX(Fournisseurs!$J$5:$J$24,MATCH($C189,Fournisseurs!$A$5:$A$24,0))+INDEX(Fournisseurs!$K$5:$K$24,MATCH($C189,Fournisseurs!$A$5:$A$24,0)))*$U189*$AD189/($I189*$M189),"")</f>
        <v/>
      </c>
      <c r="AF189" s="28" t="str">
        <f aca="false">IF($Y189=1,INDEX(Fournisseurs!$L$5:$L$24,MATCH($C189,Fournisseurs!$A$5:$A$24,0))*$AD189/($I189*$M189),"")</f>
        <v/>
      </c>
      <c r="AG189" s="28" t="str">
        <f aca="false">IF($Y189=1,$AA189*$U189/$I189,"")</f>
        <v/>
      </c>
      <c r="AH189" s="28" t="str">
        <f aca="false">IF($Y189=1,$AB189*$U189/$I189,"")</f>
        <v/>
      </c>
      <c r="AI189" s="18" t="str">
        <f aca="false">IF($Y189=1,IF(AND(Paramètres!$B$4="EFFECTIVE",$W189="CH",$AB189&gt;0),1,0),"")</f>
        <v/>
      </c>
      <c r="AJ189" s="28" t="str">
        <f aca="false">IF($Y189=1,IF($X189&lt;&gt;"CH",($AG189+$AE189+$AF189)*Paramètres!$B$14,0),"")</f>
        <v/>
      </c>
      <c r="AK189" s="29" t="str">
        <f aca="false">IF($Y189=1,$AG189+IF($AI189=1,0,$AH189)+$AE189+$AF189+IF(Paramètres!$B$4="NOT_REGISTERED",$AJ189,0),"")</f>
        <v/>
      </c>
      <c r="AL189" s="27" t="str">
        <f aca="false">IF($Y189=1,($AK189+Paramètres!$B$7+Paramètres!$B$8+Paramètres!$B$9+Paramètres!$B$10)/((1-Paramètres!$B$11)/(1+Paramètres!$B$5)-Paramètres!$B$6),"")</f>
        <v/>
      </c>
      <c r="AM189" s="26" t="str">
        <f aca="false">IF(AND($Y189=1,ISNUMBER($R189)),IF($R189&gt;0,$AL189/$R189-1,""),"")</f>
        <v/>
      </c>
      <c r="AN189" s="27" t="str">
        <f aca="false">IF(AND($Y189=1,ISNUMBER($R189)),IF($R189&gt;0,$R189/(1+Paramètres!$B$5)-$AK189-($R189*Paramètres!$B$6+Paramètres!$B$7)-Paramètres!$B$8-Paramètres!$B$9-Paramètres!$B$10,""),"")</f>
        <v/>
      </c>
      <c r="AO189" s="26" t="str">
        <f aca="false">IF(ISNUMBER($AN189),$AN189/($R189/(1+Paramètres!$B$5)),"")</f>
        <v/>
      </c>
      <c r="AP189" s="30" t="str">
        <f aca="false">IF($A189="","",IF($Y189&lt;&gt;1,"INCOMPLET",IF(NOT(ISNUMBER($AM189)),"SANS RÉF. MARCHÉ",IF($AM189&lt;=Paramètres!$B$12,"OK",IF(AND($AO189&gt;=Paramètres!$B$15,$AN189&gt;=Paramètres!$B$16),"À REVOIR","NON RENTABLE")))))</f>
        <v/>
      </c>
      <c r="AQ189" s="18" t="str">
        <f aca="false">TRIM(IF(AND($Y189=1,ISNUMBER($N189)),IF($M189&lt;$N189,"MOQ ",""),"")&amp;IF(AND($Y189=1,ISNUMBER($O189)),IF($O189&lt;$I189*$M189,"DISPO ",""),"")&amp;IF($S189="O","FICTIF ","")&amp;IF($Y189=1,IF(AND($K189="TTC",$W189&lt;&gt;"CH"),"TVA-ÉTRANGÈRE ",""),""))</f>
        <v/>
      </c>
      <c r="AR189" s="18" t="str">
        <f aca="false">IF($Y189=1,COUNTIFS($A$6:$A$205,$A189,$AK$6:$AK$205,"&lt;"&amp;$AK189,$Y$6:$Y$205,1)+1,"")</f>
        <v/>
      </c>
      <c r="AS189" s="18" t="str">
        <f aca="false">IF(ISNUMBER($AR189),$A189&amp;"|"&amp;$AR189,"")</f>
        <v/>
      </c>
      <c r="AT189" s="27" t="str">
        <f aca="false">IF($Y189=1,$AK189*$I189*$M189,"")</f>
        <v/>
      </c>
    </row>
    <row r="190" customFormat="false" ht="15" hidden="false" customHeight="false" outlineLevel="0" collapsed="false">
      <c r="A190" s="9"/>
      <c r="B190" s="9"/>
      <c r="C190" s="9"/>
      <c r="D190" s="9"/>
      <c r="E190" s="9"/>
      <c r="F190" s="9"/>
      <c r="G190" s="9"/>
      <c r="H190" s="9"/>
      <c r="I190" s="9"/>
      <c r="J190" s="13"/>
      <c r="K190" s="9"/>
      <c r="L190" s="12"/>
      <c r="M190" s="9"/>
      <c r="N190" s="9"/>
      <c r="O190" s="9"/>
      <c r="P190" s="9"/>
      <c r="Q190" s="16"/>
      <c r="R190" s="13"/>
      <c r="S190" s="9"/>
      <c r="T190" s="18" t="str">
        <f aca="false">IF($C190="","",IFERROR(INDEX(Fournisseurs!$C$5:$C$24,MATCH($C190,Fournisseurs!$A$5:$A$24,0)),""))</f>
        <v/>
      </c>
      <c r="U190" s="25" t="str">
        <f aca="false">IF($C190="","",IFERROR(INDEX(Fournisseurs!$D$5:$D$24,MATCH($C190,Fournisseurs!$A$5:$A$24,0)),""))</f>
        <v/>
      </c>
      <c r="V190" s="26" t="str">
        <f aca="false">IF($C190="","",IFERROR(INDEX(Fournisseurs!$G$5:$G$24,MATCH($C190,Fournisseurs!$A$5:$A$24,0)),""))</f>
        <v/>
      </c>
      <c r="W190" s="18" t="str">
        <f aca="false">IF($C190="","",IFERROR(INDEX(Fournisseurs!$H$5:$H$24,MATCH($C190,Fournisseurs!$A$5:$A$24,0)),""))</f>
        <v/>
      </c>
      <c r="X190" s="18" t="str">
        <f aca="false">IF($C190="","",IFERROR(INDEX(Fournisseurs!$B$5:$B$24,MATCH($C190,Fournisseurs!$A$5:$A$24,0)),""))</f>
        <v/>
      </c>
      <c r="Y190" s="18" t="str">
        <f aca="false">IF($A190="","",IF(AND($A190&lt;&gt;"",$C190&lt;&gt;"",ISNUMBER($I190),ISNUMBER($J190),ISNUMBER($M190)),IF(AND($I190&gt;=1,$J190&gt;0,OR($K190="HT",$K190="TTC"),$M190&gt;=1,IFERROR(INDEX(Fournisseurs!$T$5:$T$24,MATCH($C190,Fournisseurs!$A$5:$A$24,0)),0)=1),1,0),0))</f>
        <v/>
      </c>
      <c r="Z190" s="27" t="str">
        <f aca="false">IF($Y190=1,$J190*(1-N($L190)),"")</f>
        <v/>
      </c>
      <c r="AA190" s="28" t="str">
        <f aca="false">IF($Y190=1,IF($K190="TTC",$Z190/(1+$V190),$Z190),"")</f>
        <v/>
      </c>
      <c r="AB190" s="28" t="str">
        <f aca="false">IF($Y190=1,IF($K190="TTC",$Z190-$AA190,$AA190*$V190),"")</f>
        <v/>
      </c>
      <c r="AC190" s="27" t="str">
        <f aca="false">IF($Y190=1,$AA190*$U190*$M190,"")</f>
        <v/>
      </c>
      <c r="AD190" s="26" t="str">
        <f aca="false">IF($Y190=1,$AC190/SUMIFS($AC$6:$AC$205,$C$6:$C$205,$C190,$Y$6:$Y$205,1),"")</f>
        <v/>
      </c>
      <c r="AE190" s="28" t="str">
        <f aca="false">IF($Y190=1,(INDEX(Fournisseurs!$J$5:$J$24,MATCH($C190,Fournisseurs!$A$5:$A$24,0))+INDEX(Fournisseurs!$K$5:$K$24,MATCH($C190,Fournisseurs!$A$5:$A$24,0)))*$U190*$AD190/($I190*$M190),"")</f>
        <v/>
      </c>
      <c r="AF190" s="28" t="str">
        <f aca="false">IF($Y190=1,INDEX(Fournisseurs!$L$5:$L$24,MATCH($C190,Fournisseurs!$A$5:$A$24,0))*$AD190/($I190*$M190),"")</f>
        <v/>
      </c>
      <c r="AG190" s="28" t="str">
        <f aca="false">IF($Y190=1,$AA190*$U190/$I190,"")</f>
        <v/>
      </c>
      <c r="AH190" s="28" t="str">
        <f aca="false">IF($Y190=1,$AB190*$U190/$I190,"")</f>
        <v/>
      </c>
      <c r="AI190" s="18" t="str">
        <f aca="false">IF($Y190=1,IF(AND(Paramètres!$B$4="EFFECTIVE",$W190="CH",$AB190&gt;0),1,0),"")</f>
        <v/>
      </c>
      <c r="AJ190" s="28" t="str">
        <f aca="false">IF($Y190=1,IF($X190&lt;&gt;"CH",($AG190+$AE190+$AF190)*Paramètres!$B$14,0),"")</f>
        <v/>
      </c>
      <c r="AK190" s="29" t="str">
        <f aca="false">IF($Y190=1,$AG190+IF($AI190=1,0,$AH190)+$AE190+$AF190+IF(Paramètres!$B$4="NOT_REGISTERED",$AJ190,0),"")</f>
        <v/>
      </c>
      <c r="AL190" s="27" t="str">
        <f aca="false">IF($Y190=1,($AK190+Paramètres!$B$7+Paramètres!$B$8+Paramètres!$B$9+Paramètres!$B$10)/((1-Paramètres!$B$11)/(1+Paramètres!$B$5)-Paramètres!$B$6),"")</f>
        <v/>
      </c>
      <c r="AM190" s="26" t="str">
        <f aca="false">IF(AND($Y190=1,ISNUMBER($R190)),IF($R190&gt;0,$AL190/$R190-1,""),"")</f>
        <v/>
      </c>
      <c r="AN190" s="27" t="str">
        <f aca="false">IF(AND($Y190=1,ISNUMBER($R190)),IF($R190&gt;0,$R190/(1+Paramètres!$B$5)-$AK190-($R190*Paramètres!$B$6+Paramètres!$B$7)-Paramètres!$B$8-Paramètres!$B$9-Paramètres!$B$10,""),"")</f>
        <v/>
      </c>
      <c r="AO190" s="26" t="str">
        <f aca="false">IF(ISNUMBER($AN190),$AN190/($R190/(1+Paramètres!$B$5)),"")</f>
        <v/>
      </c>
      <c r="AP190" s="30" t="str">
        <f aca="false">IF($A190="","",IF($Y190&lt;&gt;1,"INCOMPLET",IF(NOT(ISNUMBER($AM190)),"SANS RÉF. MARCHÉ",IF($AM190&lt;=Paramètres!$B$12,"OK",IF(AND($AO190&gt;=Paramètres!$B$15,$AN190&gt;=Paramètres!$B$16),"À REVOIR","NON RENTABLE")))))</f>
        <v/>
      </c>
      <c r="AQ190" s="18" t="str">
        <f aca="false">TRIM(IF(AND($Y190=1,ISNUMBER($N190)),IF($M190&lt;$N190,"MOQ ",""),"")&amp;IF(AND($Y190=1,ISNUMBER($O190)),IF($O190&lt;$I190*$M190,"DISPO ",""),"")&amp;IF($S190="O","FICTIF ","")&amp;IF($Y190=1,IF(AND($K190="TTC",$W190&lt;&gt;"CH"),"TVA-ÉTRANGÈRE ",""),""))</f>
        <v/>
      </c>
      <c r="AR190" s="18" t="str">
        <f aca="false">IF($Y190=1,COUNTIFS($A$6:$A$205,$A190,$AK$6:$AK$205,"&lt;"&amp;$AK190,$Y$6:$Y$205,1)+1,"")</f>
        <v/>
      </c>
      <c r="AS190" s="18" t="str">
        <f aca="false">IF(ISNUMBER($AR190),$A190&amp;"|"&amp;$AR190,"")</f>
        <v/>
      </c>
      <c r="AT190" s="27" t="str">
        <f aca="false">IF($Y190=1,$AK190*$I190*$M190,"")</f>
        <v/>
      </c>
    </row>
    <row r="191" customFormat="false" ht="15" hidden="false" customHeight="false" outlineLevel="0" collapsed="false">
      <c r="A191" s="9"/>
      <c r="B191" s="9"/>
      <c r="C191" s="9"/>
      <c r="D191" s="9"/>
      <c r="E191" s="9"/>
      <c r="F191" s="9"/>
      <c r="G191" s="9"/>
      <c r="H191" s="9"/>
      <c r="I191" s="9"/>
      <c r="J191" s="13"/>
      <c r="K191" s="9"/>
      <c r="L191" s="12"/>
      <c r="M191" s="9"/>
      <c r="N191" s="9"/>
      <c r="O191" s="9"/>
      <c r="P191" s="9"/>
      <c r="Q191" s="16"/>
      <c r="R191" s="13"/>
      <c r="S191" s="9"/>
      <c r="T191" s="18" t="str">
        <f aca="false">IF($C191="","",IFERROR(INDEX(Fournisseurs!$C$5:$C$24,MATCH($C191,Fournisseurs!$A$5:$A$24,0)),""))</f>
        <v/>
      </c>
      <c r="U191" s="25" t="str">
        <f aca="false">IF($C191="","",IFERROR(INDEX(Fournisseurs!$D$5:$D$24,MATCH($C191,Fournisseurs!$A$5:$A$24,0)),""))</f>
        <v/>
      </c>
      <c r="V191" s="26" t="str">
        <f aca="false">IF($C191="","",IFERROR(INDEX(Fournisseurs!$G$5:$G$24,MATCH($C191,Fournisseurs!$A$5:$A$24,0)),""))</f>
        <v/>
      </c>
      <c r="W191" s="18" t="str">
        <f aca="false">IF($C191="","",IFERROR(INDEX(Fournisseurs!$H$5:$H$24,MATCH($C191,Fournisseurs!$A$5:$A$24,0)),""))</f>
        <v/>
      </c>
      <c r="X191" s="18" t="str">
        <f aca="false">IF($C191="","",IFERROR(INDEX(Fournisseurs!$B$5:$B$24,MATCH($C191,Fournisseurs!$A$5:$A$24,0)),""))</f>
        <v/>
      </c>
      <c r="Y191" s="18" t="str">
        <f aca="false">IF($A191="","",IF(AND($A191&lt;&gt;"",$C191&lt;&gt;"",ISNUMBER($I191),ISNUMBER($J191),ISNUMBER($M191)),IF(AND($I191&gt;=1,$J191&gt;0,OR($K191="HT",$K191="TTC"),$M191&gt;=1,IFERROR(INDEX(Fournisseurs!$T$5:$T$24,MATCH($C191,Fournisseurs!$A$5:$A$24,0)),0)=1),1,0),0))</f>
        <v/>
      </c>
      <c r="Z191" s="27" t="str">
        <f aca="false">IF($Y191=1,$J191*(1-N($L191)),"")</f>
        <v/>
      </c>
      <c r="AA191" s="28" t="str">
        <f aca="false">IF($Y191=1,IF($K191="TTC",$Z191/(1+$V191),$Z191),"")</f>
        <v/>
      </c>
      <c r="AB191" s="28" t="str">
        <f aca="false">IF($Y191=1,IF($K191="TTC",$Z191-$AA191,$AA191*$V191),"")</f>
        <v/>
      </c>
      <c r="AC191" s="27" t="str">
        <f aca="false">IF($Y191=1,$AA191*$U191*$M191,"")</f>
        <v/>
      </c>
      <c r="AD191" s="26" t="str">
        <f aca="false">IF($Y191=1,$AC191/SUMIFS($AC$6:$AC$205,$C$6:$C$205,$C191,$Y$6:$Y$205,1),"")</f>
        <v/>
      </c>
      <c r="AE191" s="28" t="str">
        <f aca="false">IF($Y191=1,(INDEX(Fournisseurs!$J$5:$J$24,MATCH($C191,Fournisseurs!$A$5:$A$24,0))+INDEX(Fournisseurs!$K$5:$K$24,MATCH($C191,Fournisseurs!$A$5:$A$24,0)))*$U191*$AD191/($I191*$M191),"")</f>
        <v/>
      </c>
      <c r="AF191" s="28" t="str">
        <f aca="false">IF($Y191=1,INDEX(Fournisseurs!$L$5:$L$24,MATCH($C191,Fournisseurs!$A$5:$A$24,0))*$AD191/($I191*$M191),"")</f>
        <v/>
      </c>
      <c r="AG191" s="28" t="str">
        <f aca="false">IF($Y191=1,$AA191*$U191/$I191,"")</f>
        <v/>
      </c>
      <c r="AH191" s="28" t="str">
        <f aca="false">IF($Y191=1,$AB191*$U191/$I191,"")</f>
        <v/>
      </c>
      <c r="AI191" s="18" t="str">
        <f aca="false">IF($Y191=1,IF(AND(Paramètres!$B$4="EFFECTIVE",$W191="CH",$AB191&gt;0),1,0),"")</f>
        <v/>
      </c>
      <c r="AJ191" s="28" t="str">
        <f aca="false">IF($Y191=1,IF($X191&lt;&gt;"CH",($AG191+$AE191+$AF191)*Paramètres!$B$14,0),"")</f>
        <v/>
      </c>
      <c r="AK191" s="29" t="str">
        <f aca="false">IF($Y191=1,$AG191+IF($AI191=1,0,$AH191)+$AE191+$AF191+IF(Paramètres!$B$4="NOT_REGISTERED",$AJ191,0),"")</f>
        <v/>
      </c>
      <c r="AL191" s="27" t="str">
        <f aca="false">IF($Y191=1,($AK191+Paramètres!$B$7+Paramètres!$B$8+Paramètres!$B$9+Paramètres!$B$10)/((1-Paramètres!$B$11)/(1+Paramètres!$B$5)-Paramètres!$B$6),"")</f>
        <v/>
      </c>
      <c r="AM191" s="26" t="str">
        <f aca="false">IF(AND($Y191=1,ISNUMBER($R191)),IF($R191&gt;0,$AL191/$R191-1,""),"")</f>
        <v/>
      </c>
      <c r="AN191" s="27" t="str">
        <f aca="false">IF(AND($Y191=1,ISNUMBER($R191)),IF($R191&gt;0,$R191/(1+Paramètres!$B$5)-$AK191-($R191*Paramètres!$B$6+Paramètres!$B$7)-Paramètres!$B$8-Paramètres!$B$9-Paramètres!$B$10,""),"")</f>
        <v/>
      </c>
      <c r="AO191" s="26" t="str">
        <f aca="false">IF(ISNUMBER($AN191),$AN191/($R191/(1+Paramètres!$B$5)),"")</f>
        <v/>
      </c>
      <c r="AP191" s="30" t="str">
        <f aca="false">IF($A191="","",IF($Y191&lt;&gt;1,"INCOMPLET",IF(NOT(ISNUMBER($AM191)),"SANS RÉF. MARCHÉ",IF($AM191&lt;=Paramètres!$B$12,"OK",IF(AND($AO191&gt;=Paramètres!$B$15,$AN191&gt;=Paramètres!$B$16),"À REVOIR","NON RENTABLE")))))</f>
        <v/>
      </c>
      <c r="AQ191" s="18" t="str">
        <f aca="false">TRIM(IF(AND($Y191=1,ISNUMBER($N191)),IF($M191&lt;$N191,"MOQ ",""),"")&amp;IF(AND($Y191=1,ISNUMBER($O191)),IF($O191&lt;$I191*$M191,"DISPO ",""),"")&amp;IF($S191="O","FICTIF ","")&amp;IF($Y191=1,IF(AND($K191="TTC",$W191&lt;&gt;"CH"),"TVA-ÉTRANGÈRE ",""),""))</f>
        <v/>
      </c>
      <c r="AR191" s="18" t="str">
        <f aca="false">IF($Y191=1,COUNTIFS($A$6:$A$205,$A191,$AK$6:$AK$205,"&lt;"&amp;$AK191,$Y$6:$Y$205,1)+1,"")</f>
        <v/>
      </c>
      <c r="AS191" s="18" t="str">
        <f aca="false">IF(ISNUMBER($AR191),$A191&amp;"|"&amp;$AR191,"")</f>
        <v/>
      </c>
      <c r="AT191" s="27" t="str">
        <f aca="false">IF($Y191=1,$AK191*$I191*$M191,"")</f>
        <v/>
      </c>
    </row>
    <row r="192" customFormat="false" ht="15" hidden="false" customHeight="false" outlineLevel="0" collapsed="false">
      <c r="A192" s="9"/>
      <c r="B192" s="9"/>
      <c r="C192" s="9"/>
      <c r="D192" s="9"/>
      <c r="E192" s="9"/>
      <c r="F192" s="9"/>
      <c r="G192" s="9"/>
      <c r="H192" s="9"/>
      <c r="I192" s="9"/>
      <c r="J192" s="13"/>
      <c r="K192" s="9"/>
      <c r="L192" s="12"/>
      <c r="M192" s="9"/>
      <c r="N192" s="9"/>
      <c r="O192" s="9"/>
      <c r="P192" s="9"/>
      <c r="Q192" s="16"/>
      <c r="R192" s="13"/>
      <c r="S192" s="9"/>
      <c r="T192" s="18" t="str">
        <f aca="false">IF($C192="","",IFERROR(INDEX(Fournisseurs!$C$5:$C$24,MATCH($C192,Fournisseurs!$A$5:$A$24,0)),""))</f>
        <v/>
      </c>
      <c r="U192" s="25" t="str">
        <f aca="false">IF($C192="","",IFERROR(INDEX(Fournisseurs!$D$5:$D$24,MATCH($C192,Fournisseurs!$A$5:$A$24,0)),""))</f>
        <v/>
      </c>
      <c r="V192" s="26" t="str">
        <f aca="false">IF($C192="","",IFERROR(INDEX(Fournisseurs!$G$5:$G$24,MATCH($C192,Fournisseurs!$A$5:$A$24,0)),""))</f>
        <v/>
      </c>
      <c r="W192" s="18" t="str">
        <f aca="false">IF($C192="","",IFERROR(INDEX(Fournisseurs!$H$5:$H$24,MATCH($C192,Fournisseurs!$A$5:$A$24,0)),""))</f>
        <v/>
      </c>
      <c r="X192" s="18" t="str">
        <f aca="false">IF($C192="","",IFERROR(INDEX(Fournisseurs!$B$5:$B$24,MATCH($C192,Fournisseurs!$A$5:$A$24,0)),""))</f>
        <v/>
      </c>
      <c r="Y192" s="18" t="str">
        <f aca="false">IF($A192="","",IF(AND($A192&lt;&gt;"",$C192&lt;&gt;"",ISNUMBER($I192),ISNUMBER($J192),ISNUMBER($M192)),IF(AND($I192&gt;=1,$J192&gt;0,OR($K192="HT",$K192="TTC"),$M192&gt;=1,IFERROR(INDEX(Fournisseurs!$T$5:$T$24,MATCH($C192,Fournisseurs!$A$5:$A$24,0)),0)=1),1,0),0))</f>
        <v/>
      </c>
      <c r="Z192" s="27" t="str">
        <f aca="false">IF($Y192=1,$J192*(1-N($L192)),"")</f>
        <v/>
      </c>
      <c r="AA192" s="28" t="str">
        <f aca="false">IF($Y192=1,IF($K192="TTC",$Z192/(1+$V192),$Z192),"")</f>
        <v/>
      </c>
      <c r="AB192" s="28" t="str">
        <f aca="false">IF($Y192=1,IF($K192="TTC",$Z192-$AA192,$AA192*$V192),"")</f>
        <v/>
      </c>
      <c r="AC192" s="27" t="str">
        <f aca="false">IF($Y192=1,$AA192*$U192*$M192,"")</f>
        <v/>
      </c>
      <c r="AD192" s="26" t="str">
        <f aca="false">IF($Y192=1,$AC192/SUMIFS($AC$6:$AC$205,$C$6:$C$205,$C192,$Y$6:$Y$205,1),"")</f>
        <v/>
      </c>
      <c r="AE192" s="28" t="str">
        <f aca="false">IF($Y192=1,(INDEX(Fournisseurs!$J$5:$J$24,MATCH($C192,Fournisseurs!$A$5:$A$24,0))+INDEX(Fournisseurs!$K$5:$K$24,MATCH($C192,Fournisseurs!$A$5:$A$24,0)))*$U192*$AD192/($I192*$M192),"")</f>
        <v/>
      </c>
      <c r="AF192" s="28" t="str">
        <f aca="false">IF($Y192=1,INDEX(Fournisseurs!$L$5:$L$24,MATCH($C192,Fournisseurs!$A$5:$A$24,0))*$AD192/($I192*$M192),"")</f>
        <v/>
      </c>
      <c r="AG192" s="28" t="str">
        <f aca="false">IF($Y192=1,$AA192*$U192/$I192,"")</f>
        <v/>
      </c>
      <c r="AH192" s="28" t="str">
        <f aca="false">IF($Y192=1,$AB192*$U192/$I192,"")</f>
        <v/>
      </c>
      <c r="AI192" s="18" t="str">
        <f aca="false">IF($Y192=1,IF(AND(Paramètres!$B$4="EFFECTIVE",$W192="CH",$AB192&gt;0),1,0),"")</f>
        <v/>
      </c>
      <c r="AJ192" s="28" t="str">
        <f aca="false">IF($Y192=1,IF($X192&lt;&gt;"CH",($AG192+$AE192+$AF192)*Paramètres!$B$14,0),"")</f>
        <v/>
      </c>
      <c r="AK192" s="29" t="str">
        <f aca="false">IF($Y192=1,$AG192+IF($AI192=1,0,$AH192)+$AE192+$AF192+IF(Paramètres!$B$4="NOT_REGISTERED",$AJ192,0),"")</f>
        <v/>
      </c>
      <c r="AL192" s="27" t="str">
        <f aca="false">IF($Y192=1,($AK192+Paramètres!$B$7+Paramètres!$B$8+Paramètres!$B$9+Paramètres!$B$10)/((1-Paramètres!$B$11)/(1+Paramètres!$B$5)-Paramètres!$B$6),"")</f>
        <v/>
      </c>
      <c r="AM192" s="26" t="str">
        <f aca="false">IF(AND($Y192=1,ISNUMBER($R192)),IF($R192&gt;0,$AL192/$R192-1,""),"")</f>
        <v/>
      </c>
      <c r="AN192" s="27" t="str">
        <f aca="false">IF(AND($Y192=1,ISNUMBER($R192)),IF($R192&gt;0,$R192/(1+Paramètres!$B$5)-$AK192-($R192*Paramètres!$B$6+Paramètres!$B$7)-Paramètres!$B$8-Paramètres!$B$9-Paramètres!$B$10,""),"")</f>
        <v/>
      </c>
      <c r="AO192" s="26" t="str">
        <f aca="false">IF(ISNUMBER($AN192),$AN192/($R192/(1+Paramètres!$B$5)),"")</f>
        <v/>
      </c>
      <c r="AP192" s="30" t="str">
        <f aca="false">IF($A192="","",IF($Y192&lt;&gt;1,"INCOMPLET",IF(NOT(ISNUMBER($AM192)),"SANS RÉF. MARCHÉ",IF($AM192&lt;=Paramètres!$B$12,"OK",IF(AND($AO192&gt;=Paramètres!$B$15,$AN192&gt;=Paramètres!$B$16),"À REVOIR","NON RENTABLE")))))</f>
        <v/>
      </c>
      <c r="AQ192" s="18" t="str">
        <f aca="false">TRIM(IF(AND($Y192=1,ISNUMBER($N192)),IF($M192&lt;$N192,"MOQ ",""),"")&amp;IF(AND($Y192=1,ISNUMBER($O192)),IF($O192&lt;$I192*$M192,"DISPO ",""),"")&amp;IF($S192="O","FICTIF ","")&amp;IF($Y192=1,IF(AND($K192="TTC",$W192&lt;&gt;"CH"),"TVA-ÉTRANGÈRE ",""),""))</f>
        <v/>
      </c>
      <c r="AR192" s="18" t="str">
        <f aca="false">IF($Y192=1,COUNTIFS($A$6:$A$205,$A192,$AK$6:$AK$205,"&lt;"&amp;$AK192,$Y$6:$Y$205,1)+1,"")</f>
        <v/>
      </c>
      <c r="AS192" s="18" t="str">
        <f aca="false">IF(ISNUMBER($AR192),$A192&amp;"|"&amp;$AR192,"")</f>
        <v/>
      </c>
      <c r="AT192" s="27" t="str">
        <f aca="false">IF($Y192=1,$AK192*$I192*$M192,"")</f>
        <v/>
      </c>
    </row>
    <row r="193" customFormat="false" ht="15" hidden="false" customHeight="false" outlineLevel="0" collapsed="false">
      <c r="A193" s="9"/>
      <c r="B193" s="9"/>
      <c r="C193" s="9"/>
      <c r="D193" s="9"/>
      <c r="E193" s="9"/>
      <c r="F193" s="9"/>
      <c r="G193" s="9"/>
      <c r="H193" s="9"/>
      <c r="I193" s="9"/>
      <c r="J193" s="13"/>
      <c r="K193" s="9"/>
      <c r="L193" s="12"/>
      <c r="M193" s="9"/>
      <c r="N193" s="9"/>
      <c r="O193" s="9"/>
      <c r="P193" s="9"/>
      <c r="Q193" s="16"/>
      <c r="R193" s="13"/>
      <c r="S193" s="9"/>
      <c r="T193" s="18" t="str">
        <f aca="false">IF($C193="","",IFERROR(INDEX(Fournisseurs!$C$5:$C$24,MATCH($C193,Fournisseurs!$A$5:$A$24,0)),""))</f>
        <v/>
      </c>
      <c r="U193" s="25" t="str">
        <f aca="false">IF($C193="","",IFERROR(INDEX(Fournisseurs!$D$5:$D$24,MATCH($C193,Fournisseurs!$A$5:$A$24,0)),""))</f>
        <v/>
      </c>
      <c r="V193" s="26" t="str">
        <f aca="false">IF($C193="","",IFERROR(INDEX(Fournisseurs!$G$5:$G$24,MATCH($C193,Fournisseurs!$A$5:$A$24,0)),""))</f>
        <v/>
      </c>
      <c r="W193" s="18" t="str">
        <f aca="false">IF($C193="","",IFERROR(INDEX(Fournisseurs!$H$5:$H$24,MATCH($C193,Fournisseurs!$A$5:$A$24,0)),""))</f>
        <v/>
      </c>
      <c r="X193" s="18" t="str">
        <f aca="false">IF($C193="","",IFERROR(INDEX(Fournisseurs!$B$5:$B$24,MATCH($C193,Fournisseurs!$A$5:$A$24,0)),""))</f>
        <v/>
      </c>
      <c r="Y193" s="18" t="str">
        <f aca="false">IF($A193="","",IF(AND($A193&lt;&gt;"",$C193&lt;&gt;"",ISNUMBER($I193),ISNUMBER($J193),ISNUMBER($M193)),IF(AND($I193&gt;=1,$J193&gt;0,OR($K193="HT",$K193="TTC"),$M193&gt;=1,IFERROR(INDEX(Fournisseurs!$T$5:$T$24,MATCH($C193,Fournisseurs!$A$5:$A$24,0)),0)=1),1,0),0))</f>
        <v/>
      </c>
      <c r="Z193" s="27" t="str">
        <f aca="false">IF($Y193=1,$J193*(1-N($L193)),"")</f>
        <v/>
      </c>
      <c r="AA193" s="28" t="str">
        <f aca="false">IF($Y193=1,IF($K193="TTC",$Z193/(1+$V193),$Z193),"")</f>
        <v/>
      </c>
      <c r="AB193" s="28" t="str">
        <f aca="false">IF($Y193=1,IF($K193="TTC",$Z193-$AA193,$AA193*$V193),"")</f>
        <v/>
      </c>
      <c r="AC193" s="27" t="str">
        <f aca="false">IF($Y193=1,$AA193*$U193*$M193,"")</f>
        <v/>
      </c>
      <c r="AD193" s="26" t="str">
        <f aca="false">IF($Y193=1,$AC193/SUMIFS($AC$6:$AC$205,$C$6:$C$205,$C193,$Y$6:$Y$205,1),"")</f>
        <v/>
      </c>
      <c r="AE193" s="28" t="str">
        <f aca="false">IF($Y193=1,(INDEX(Fournisseurs!$J$5:$J$24,MATCH($C193,Fournisseurs!$A$5:$A$24,0))+INDEX(Fournisseurs!$K$5:$K$24,MATCH($C193,Fournisseurs!$A$5:$A$24,0)))*$U193*$AD193/($I193*$M193),"")</f>
        <v/>
      </c>
      <c r="AF193" s="28" t="str">
        <f aca="false">IF($Y193=1,INDEX(Fournisseurs!$L$5:$L$24,MATCH($C193,Fournisseurs!$A$5:$A$24,0))*$AD193/($I193*$M193),"")</f>
        <v/>
      </c>
      <c r="AG193" s="28" t="str">
        <f aca="false">IF($Y193=1,$AA193*$U193/$I193,"")</f>
        <v/>
      </c>
      <c r="AH193" s="28" t="str">
        <f aca="false">IF($Y193=1,$AB193*$U193/$I193,"")</f>
        <v/>
      </c>
      <c r="AI193" s="18" t="str">
        <f aca="false">IF($Y193=1,IF(AND(Paramètres!$B$4="EFFECTIVE",$W193="CH",$AB193&gt;0),1,0),"")</f>
        <v/>
      </c>
      <c r="AJ193" s="28" t="str">
        <f aca="false">IF($Y193=1,IF($X193&lt;&gt;"CH",($AG193+$AE193+$AF193)*Paramètres!$B$14,0),"")</f>
        <v/>
      </c>
      <c r="AK193" s="29" t="str">
        <f aca="false">IF($Y193=1,$AG193+IF($AI193=1,0,$AH193)+$AE193+$AF193+IF(Paramètres!$B$4="NOT_REGISTERED",$AJ193,0),"")</f>
        <v/>
      </c>
      <c r="AL193" s="27" t="str">
        <f aca="false">IF($Y193=1,($AK193+Paramètres!$B$7+Paramètres!$B$8+Paramètres!$B$9+Paramètres!$B$10)/((1-Paramètres!$B$11)/(1+Paramètres!$B$5)-Paramètres!$B$6),"")</f>
        <v/>
      </c>
      <c r="AM193" s="26" t="str">
        <f aca="false">IF(AND($Y193=1,ISNUMBER($R193)),IF($R193&gt;0,$AL193/$R193-1,""),"")</f>
        <v/>
      </c>
      <c r="AN193" s="27" t="str">
        <f aca="false">IF(AND($Y193=1,ISNUMBER($R193)),IF($R193&gt;0,$R193/(1+Paramètres!$B$5)-$AK193-($R193*Paramètres!$B$6+Paramètres!$B$7)-Paramètres!$B$8-Paramètres!$B$9-Paramètres!$B$10,""),"")</f>
        <v/>
      </c>
      <c r="AO193" s="26" t="str">
        <f aca="false">IF(ISNUMBER($AN193),$AN193/($R193/(1+Paramètres!$B$5)),"")</f>
        <v/>
      </c>
      <c r="AP193" s="30" t="str">
        <f aca="false">IF($A193="","",IF($Y193&lt;&gt;1,"INCOMPLET",IF(NOT(ISNUMBER($AM193)),"SANS RÉF. MARCHÉ",IF($AM193&lt;=Paramètres!$B$12,"OK",IF(AND($AO193&gt;=Paramètres!$B$15,$AN193&gt;=Paramètres!$B$16),"À REVOIR","NON RENTABLE")))))</f>
        <v/>
      </c>
      <c r="AQ193" s="18" t="str">
        <f aca="false">TRIM(IF(AND($Y193=1,ISNUMBER($N193)),IF($M193&lt;$N193,"MOQ ",""),"")&amp;IF(AND($Y193=1,ISNUMBER($O193)),IF($O193&lt;$I193*$M193,"DISPO ",""),"")&amp;IF($S193="O","FICTIF ","")&amp;IF($Y193=1,IF(AND($K193="TTC",$W193&lt;&gt;"CH"),"TVA-ÉTRANGÈRE ",""),""))</f>
        <v/>
      </c>
      <c r="AR193" s="18" t="str">
        <f aca="false">IF($Y193=1,COUNTIFS($A$6:$A$205,$A193,$AK$6:$AK$205,"&lt;"&amp;$AK193,$Y$6:$Y$205,1)+1,"")</f>
        <v/>
      </c>
      <c r="AS193" s="18" t="str">
        <f aca="false">IF(ISNUMBER($AR193),$A193&amp;"|"&amp;$AR193,"")</f>
        <v/>
      </c>
      <c r="AT193" s="27" t="str">
        <f aca="false">IF($Y193=1,$AK193*$I193*$M193,"")</f>
        <v/>
      </c>
    </row>
    <row r="194" customFormat="false" ht="15" hidden="false" customHeight="false" outlineLevel="0" collapsed="false">
      <c r="A194" s="9"/>
      <c r="B194" s="9"/>
      <c r="C194" s="9"/>
      <c r="D194" s="9"/>
      <c r="E194" s="9"/>
      <c r="F194" s="9"/>
      <c r="G194" s="9"/>
      <c r="H194" s="9"/>
      <c r="I194" s="9"/>
      <c r="J194" s="13"/>
      <c r="K194" s="9"/>
      <c r="L194" s="12"/>
      <c r="M194" s="9"/>
      <c r="N194" s="9"/>
      <c r="O194" s="9"/>
      <c r="P194" s="9"/>
      <c r="Q194" s="16"/>
      <c r="R194" s="13"/>
      <c r="S194" s="9"/>
      <c r="T194" s="18" t="str">
        <f aca="false">IF($C194="","",IFERROR(INDEX(Fournisseurs!$C$5:$C$24,MATCH($C194,Fournisseurs!$A$5:$A$24,0)),""))</f>
        <v/>
      </c>
      <c r="U194" s="25" t="str">
        <f aca="false">IF($C194="","",IFERROR(INDEX(Fournisseurs!$D$5:$D$24,MATCH($C194,Fournisseurs!$A$5:$A$24,0)),""))</f>
        <v/>
      </c>
      <c r="V194" s="26" t="str">
        <f aca="false">IF($C194="","",IFERROR(INDEX(Fournisseurs!$G$5:$G$24,MATCH($C194,Fournisseurs!$A$5:$A$24,0)),""))</f>
        <v/>
      </c>
      <c r="W194" s="18" t="str">
        <f aca="false">IF($C194="","",IFERROR(INDEX(Fournisseurs!$H$5:$H$24,MATCH($C194,Fournisseurs!$A$5:$A$24,0)),""))</f>
        <v/>
      </c>
      <c r="X194" s="18" t="str">
        <f aca="false">IF($C194="","",IFERROR(INDEX(Fournisseurs!$B$5:$B$24,MATCH($C194,Fournisseurs!$A$5:$A$24,0)),""))</f>
        <v/>
      </c>
      <c r="Y194" s="18" t="str">
        <f aca="false">IF($A194="","",IF(AND($A194&lt;&gt;"",$C194&lt;&gt;"",ISNUMBER($I194),ISNUMBER($J194),ISNUMBER($M194)),IF(AND($I194&gt;=1,$J194&gt;0,OR($K194="HT",$K194="TTC"),$M194&gt;=1,IFERROR(INDEX(Fournisseurs!$T$5:$T$24,MATCH($C194,Fournisseurs!$A$5:$A$24,0)),0)=1),1,0),0))</f>
        <v/>
      </c>
      <c r="Z194" s="27" t="str">
        <f aca="false">IF($Y194=1,$J194*(1-N($L194)),"")</f>
        <v/>
      </c>
      <c r="AA194" s="28" t="str">
        <f aca="false">IF($Y194=1,IF($K194="TTC",$Z194/(1+$V194),$Z194),"")</f>
        <v/>
      </c>
      <c r="AB194" s="28" t="str">
        <f aca="false">IF($Y194=1,IF($K194="TTC",$Z194-$AA194,$AA194*$V194),"")</f>
        <v/>
      </c>
      <c r="AC194" s="27" t="str">
        <f aca="false">IF($Y194=1,$AA194*$U194*$M194,"")</f>
        <v/>
      </c>
      <c r="AD194" s="26" t="str">
        <f aca="false">IF($Y194=1,$AC194/SUMIFS($AC$6:$AC$205,$C$6:$C$205,$C194,$Y$6:$Y$205,1),"")</f>
        <v/>
      </c>
      <c r="AE194" s="28" t="str">
        <f aca="false">IF($Y194=1,(INDEX(Fournisseurs!$J$5:$J$24,MATCH($C194,Fournisseurs!$A$5:$A$24,0))+INDEX(Fournisseurs!$K$5:$K$24,MATCH($C194,Fournisseurs!$A$5:$A$24,0)))*$U194*$AD194/($I194*$M194),"")</f>
        <v/>
      </c>
      <c r="AF194" s="28" t="str">
        <f aca="false">IF($Y194=1,INDEX(Fournisseurs!$L$5:$L$24,MATCH($C194,Fournisseurs!$A$5:$A$24,0))*$AD194/($I194*$M194),"")</f>
        <v/>
      </c>
      <c r="AG194" s="28" t="str">
        <f aca="false">IF($Y194=1,$AA194*$U194/$I194,"")</f>
        <v/>
      </c>
      <c r="AH194" s="28" t="str">
        <f aca="false">IF($Y194=1,$AB194*$U194/$I194,"")</f>
        <v/>
      </c>
      <c r="AI194" s="18" t="str">
        <f aca="false">IF($Y194=1,IF(AND(Paramètres!$B$4="EFFECTIVE",$W194="CH",$AB194&gt;0),1,0),"")</f>
        <v/>
      </c>
      <c r="AJ194" s="28" t="str">
        <f aca="false">IF($Y194=1,IF($X194&lt;&gt;"CH",($AG194+$AE194+$AF194)*Paramètres!$B$14,0),"")</f>
        <v/>
      </c>
      <c r="AK194" s="29" t="str">
        <f aca="false">IF($Y194=1,$AG194+IF($AI194=1,0,$AH194)+$AE194+$AF194+IF(Paramètres!$B$4="NOT_REGISTERED",$AJ194,0),"")</f>
        <v/>
      </c>
      <c r="AL194" s="27" t="str">
        <f aca="false">IF($Y194=1,($AK194+Paramètres!$B$7+Paramètres!$B$8+Paramètres!$B$9+Paramètres!$B$10)/((1-Paramètres!$B$11)/(1+Paramètres!$B$5)-Paramètres!$B$6),"")</f>
        <v/>
      </c>
      <c r="AM194" s="26" t="str">
        <f aca="false">IF(AND($Y194=1,ISNUMBER($R194)),IF($R194&gt;0,$AL194/$R194-1,""),"")</f>
        <v/>
      </c>
      <c r="AN194" s="27" t="str">
        <f aca="false">IF(AND($Y194=1,ISNUMBER($R194)),IF($R194&gt;0,$R194/(1+Paramètres!$B$5)-$AK194-($R194*Paramètres!$B$6+Paramètres!$B$7)-Paramètres!$B$8-Paramètres!$B$9-Paramètres!$B$10,""),"")</f>
        <v/>
      </c>
      <c r="AO194" s="26" t="str">
        <f aca="false">IF(ISNUMBER($AN194),$AN194/($R194/(1+Paramètres!$B$5)),"")</f>
        <v/>
      </c>
      <c r="AP194" s="30" t="str">
        <f aca="false">IF($A194="","",IF($Y194&lt;&gt;1,"INCOMPLET",IF(NOT(ISNUMBER($AM194)),"SANS RÉF. MARCHÉ",IF($AM194&lt;=Paramètres!$B$12,"OK",IF(AND($AO194&gt;=Paramètres!$B$15,$AN194&gt;=Paramètres!$B$16),"À REVOIR","NON RENTABLE")))))</f>
        <v/>
      </c>
      <c r="AQ194" s="18" t="str">
        <f aca="false">TRIM(IF(AND($Y194=1,ISNUMBER($N194)),IF($M194&lt;$N194,"MOQ ",""),"")&amp;IF(AND($Y194=1,ISNUMBER($O194)),IF($O194&lt;$I194*$M194,"DISPO ",""),"")&amp;IF($S194="O","FICTIF ","")&amp;IF($Y194=1,IF(AND($K194="TTC",$W194&lt;&gt;"CH"),"TVA-ÉTRANGÈRE ",""),""))</f>
        <v/>
      </c>
      <c r="AR194" s="18" t="str">
        <f aca="false">IF($Y194=1,COUNTIFS($A$6:$A$205,$A194,$AK$6:$AK$205,"&lt;"&amp;$AK194,$Y$6:$Y$205,1)+1,"")</f>
        <v/>
      </c>
      <c r="AS194" s="18" t="str">
        <f aca="false">IF(ISNUMBER($AR194),$A194&amp;"|"&amp;$AR194,"")</f>
        <v/>
      </c>
      <c r="AT194" s="27" t="str">
        <f aca="false">IF($Y194=1,$AK194*$I194*$M194,"")</f>
        <v/>
      </c>
    </row>
    <row r="195" customFormat="false" ht="15" hidden="false" customHeight="false" outlineLevel="0" collapsed="false">
      <c r="A195" s="9"/>
      <c r="B195" s="9"/>
      <c r="C195" s="9"/>
      <c r="D195" s="9"/>
      <c r="E195" s="9"/>
      <c r="F195" s="9"/>
      <c r="G195" s="9"/>
      <c r="H195" s="9"/>
      <c r="I195" s="9"/>
      <c r="J195" s="13"/>
      <c r="K195" s="9"/>
      <c r="L195" s="12"/>
      <c r="M195" s="9"/>
      <c r="N195" s="9"/>
      <c r="O195" s="9"/>
      <c r="P195" s="9"/>
      <c r="Q195" s="16"/>
      <c r="R195" s="13"/>
      <c r="S195" s="9"/>
      <c r="T195" s="18" t="str">
        <f aca="false">IF($C195="","",IFERROR(INDEX(Fournisseurs!$C$5:$C$24,MATCH($C195,Fournisseurs!$A$5:$A$24,0)),""))</f>
        <v/>
      </c>
      <c r="U195" s="25" t="str">
        <f aca="false">IF($C195="","",IFERROR(INDEX(Fournisseurs!$D$5:$D$24,MATCH($C195,Fournisseurs!$A$5:$A$24,0)),""))</f>
        <v/>
      </c>
      <c r="V195" s="26" t="str">
        <f aca="false">IF($C195="","",IFERROR(INDEX(Fournisseurs!$G$5:$G$24,MATCH($C195,Fournisseurs!$A$5:$A$24,0)),""))</f>
        <v/>
      </c>
      <c r="W195" s="18" t="str">
        <f aca="false">IF($C195="","",IFERROR(INDEX(Fournisseurs!$H$5:$H$24,MATCH($C195,Fournisseurs!$A$5:$A$24,0)),""))</f>
        <v/>
      </c>
      <c r="X195" s="18" t="str">
        <f aca="false">IF($C195="","",IFERROR(INDEX(Fournisseurs!$B$5:$B$24,MATCH($C195,Fournisseurs!$A$5:$A$24,0)),""))</f>
        <v/>
      </c>
      <c r="Y195" s="18" t="str">
        <f aca="false">IF($A195="","",IF(AND($A195&lt;&gt;"",$C195&lt;&gt;"",ISNUMBER($I195),ISNUMBER($J195),ISNUMBER($M195)),IF(AND($I195&gt;=1,$J195&gt;0,OR($K195="HT",$K195="TTC"),$M195&gt;=1,IFERROR(INDEX(Fournisseurs!$T$5:$T$24,MATCH($C195,Fournisseurs!$A$5:$A$24,0)),0)=1),1,0),0))</f>
        <v/>
      </c>
      <c r="Z195" s="27" t="str">
        <f aca="false">IF($Y195=1,$J195*(1-N($L195)),"")</f>
        <v/>
      </c>
      <c r="AA195" s="28" t="str">
        <f aca="false">IF($Y195=1,IF($K195="TTC",$Z195/(1+$V195),$Z195),"")</f>
        <v/>
      </c>
      <c r="AB195" s="28" t="str">
        <f aca="false">IF($Y195=1,IF($K195="TTC",$Z195-$AA195,$AA195*$V195),"")</f>
        <v/>
      </c>
      <c r="AC195" s="27" t="str">
        <f aca="false">IF($Y195=1,$AA195*$U195*$M195,"")</f>
        <v/>
      </c>
      <c r="AD195" s="26" t="str">
        <f aca="false">IF($Y195=1,$AC195/SUMIFS($AC$6:$AC$205,$C$6:$C$205,$C195,$Y$6:$Y$205,1),"")</f>
        <v/>
      </c>
      <c r="AE195" s="28" t="str">
        <f aca="false">IF($Y195=1,(INDEX(Fournisseurs!$J$5:$J$24,MATCH($C195,Fournisseurs!$A$5:$A$24,0))+INDEX(Fournisseurs!$K$5:$K$24,MATCH($C195,Fournisseurs!$A$5:$A$24,0)))*$U195*$AD195/($I195*$M195),"")</f>
        <v/>
      </c>
      <c r="AF195" s="28" t="str">
        <f aca="false">IF($Y195=1,INDEX(Fournisseurs!$L$5:$L$24,MATCH($C195,Fournisseurs!$A$5:$A$24,0))*$AD195/($I195*$M195),"")</f>
        <v/>
      </c>
      <c r="AG195" s="28" t="str">
        <f aca="false">IF($Y195=1,$AA195*$U195/$I195,"")</f>
        <v/>
      </c>
      <c r="AH195" s="28" t="str">
        <f aca="false">IF($Y195=1,$AB195*$U195/$I195,"")</f>
        <v/>
      </c>
      <c r="AI195" s="18" t="str">
        <f aca="false">IF($Y195=1,IF(AND(Paramètres!$B$4="EFFECTIVE",$W195="CH",$AB195&gt;0),1,0),"")</f>
        <v/>
      </c>
      <c r="AJ195" s="28" t="str">
        <f aca="false">IF($Y195=1,IF($X195&lt;&gt;"CH",($AG195+$AE195+$AF195)*Paramètres!$B$14,0),"")</f>
        <v/>
      </c>
      <c r="AK195" s="29" t="str">
        <f aca="false">IF($Y195=1,$AG195+IF($AI195=1,0,$AH195)+$AE195+$AF195+IF(Paramètres!$B$4="NOT_REGISTERED",$AJ195,0),"")</f>
        <v/>
      </c>
      <c r="AL195" s="27" t="str">
        <f aca="false">IF($Y195=1,($AK195+Paramètres!$B$7+Paramètres!$B$8+Paramètres!$B$9+Paramètres!$B$10)/((1-Paramètres!$B$11)/(1+Paramètres!$B$5)-Paramètres!$B$6),"")</f>
        <v/>
      </c>
      <c r="AM195" s="26" t="str">
        <f aca="false">IF(AND($Y195=1,ISNUMBER($R195)),IF($R195&gt;0,$AL195/$R195-1,""),"")</f>
        <v/>
      </c>
      <c r="AN195" s="27" t="str">
        <f aca="false">IF(AND($Y195=1,ISNUMBER($R195)),IF($R195&gt;0,$R195/(1+Paramètres!$B$5)-$AK195-($R195*Paramètres!$B$6+Paramètres!$B$7)-Paramètres!$B$8-Paramètres!$B$9-Paramètres!$B$10,""),"")</f>
        <v/>
      </c>
      <c r="AO195" s="26" t="str">
        <f aca="false">IF(ISNUMBER($AN195),$AN195/($R195/(1+Paramètres!$B$5)),"")</f>
        <v/>
      </c>
      <c r="AP195" s="30" t="str">
        <f aca="false">IF($A195="","",IF($Y195&lt;&gt;1,"INCOMPLET",IF(NOT(ISNUMBER($AM195)),"SANS RÉF. MARCHÉ",IF($AM195&lt;=Paramètres!$B$12,"OK",IF(AND($AO195&gt;=Paramètres!$B$15,$AN195&gt;=Paramètres!$B$16),"À REVOIR","NON RENTABLE")))))</f>
        <v/>
      </c>
      <c r="AQ195" s="18" t="str">
        <f aca="false">TRIM(IF(AND($Y195=1,ISNUMBER($N195)),IF($M195&lt;$N195,"MOQ ",""),"")&amp;IF(AND($Y195=1,ISNUMBER($O195)),IF($O195&lt;$I195*$M195,"DISPO ",""),"")&amp;IF($S195="O","FICTIF ","")&amp;IF($Y195=1,IF(AND($K195="TTC",$W195&lt;&gt;"CH"),"TVA-ÉTRANGÈRE ",""),""))</f>
        <v/>
      </c>
      <c r="AR195" s="18" t="str">
        <f aca="false">IF($Y195=1,COUNTIFS($A$6:$A$205,$A195,$AK$6:$AK$205,"&lt;"&amp;$AK195,$Y$6:$Y$205,1)+1,"")</f>
        <v/>
      </c>
      <c r="AS195" s="18" t="str">
        <f aca="false">IF(ISNUMBER($AR195),$A195&amp;"|"&amp;$AR195,"")</f>
        <v/>
      </c>
      <c r="AT195" s="27" t="str">
        <f aca="false">IF($Y195=1,$AK195*$I195*$M195,"")</f>
        <v/>
      </c>
    </row>
    <row r="196" customFormat="false" ht="15" hidden="false" customHeight="false" outlineLevel="0" collapsed="false">
      <c r="A196" s="9"/>
      <c r="B196" s="9"/>
      <c r="C196" s="9"/>
      <c r="D196" s="9"/>
      <c r="E196" s="9"/>
      <c r="F196" s="9"/>
      <c r="G196" s="9"/>
      <c r="H196" s="9"/>
      <c r="I196" s="9"/>
      <c r="J196" s="13"/>
      <c r="K196" s="9"/>
      <c r="L196" s="12"/>
      <c r="M196" s="9"/>
      <c r="N196" s="9"/>
      <c r="O196" s="9"/>
      <c r="P196" s="9"/>
      <c r="Q196" s="16"/>
      <c r="R196" s="13"/>
      <c r="S196" s="9"/>
      <c r="T196" s="18" t="str">
        <f aca="false">IF($C196="","",IFERROR(INDEX(Fournisseurs!$C$5:$C$24,MATCH($C196,Fournisseurs!$A$5:$A$24,0)),""))</f>
        <v/>
      </c>
      <c r="U196" s="25" t="str">
        <f aca="false">IF($C196="","",IFERROR(INDEX(Fournisseurs!$D$5:$D$24,MATCH($C196,Fournisseurs!$A$5:$A$24,0)),""))</f>
        <v/>
      </c>
      <c r="V196" s="26" t="str">
        <f aca="false">IF($C196="","",IFERROR(INDEX(Fournisseurs!$G$5:$G$24,MATCH($C196,Fournisseurs!$A$5:$A$24,0)),""))</f>
        <v/>
      </c>
      <c r="W196" s="18" t="str">
        <f aca="false">IF($C196="","",IFERROR(INDEX(Fournisseurs!$H$5:$H$24,MATCH($C196,Fournisseurs!$A$5:$A$24,0)),""))</f>
        <v/>
      </c>
      <c r="X196" s="18" t="str">
        <f aca="false">IF($C196="","",IFERROR(INDEX(Fournisseurs!$B$5:$B$24,MATCH($C196,Fournisseurs!$A$5:$A$24,0)),""))</f>
        <v/>
      </c>
      <c r="Y196" s="18" t="str">
        <f aca="false">IF($A196="","",IF(AND($A196&lt;&gt;"",$C196&lt;&gt;"",ISNUMBER($I196),ISNUMBER($J196),ISNUMBER($M196)),IF(AND($I196&gt;=1,$J196&gt;0,OR($K196="HT",$K196="TTC"),$M196&gt;=1,IFERROR(INDEX(Fournisseurs!$T$5:$T$24,MATCH($C196,Fournisseurs!$A$5:$A$24,0)),0)=1),1,0),0))</f>
        <v/>
      </c>
      <c r="Z196" s="27" t="str">
        <f aca="false">IF($Y196=1,$J196*(1-N($L196)),"")</f>
        <v/>
      </c>
      <c r="AA196" s="28" t="str">
        <f aca="false">IF($Y196=1,IF($K196="TTC",$Z196/(1+$V196),$Z196),"")</f>
        <v/>
      </c>
      <c r="AB196" s="28" t="str">
        <f aca="false">IF($Y196=1,IF($K196="TTC",$Z196-$AA196,$AA196*$V196),"")</f>
        <v/>
      </c>
      <c r="AC196" s="27" t="str">
        <f aca="false">IF($Y196=1,$AA196*$U196*$M196,"")</f>
        <v/>
      </c>
      <c r="AD196" s="26" t="str">
        <f aca="false">IF($Y196=1,$AC196/SUMIFS($AC$6:$AC$205,$C$6:$C$205,$C196,$Y$6:$Y$205,1),"")</f>
        <v/>
      </c>
      <c r="AE196" s="28" t="str">
        <f aca="false">IF($Y196=1,(INDEX(Fournisseurs!$J$5:$J$24,MATCH($C196,Fournisseurs!$A$5:$A$24,0))+INDEX(Fournisseurs!$K$5:$K$24,MATCH($C196,Fournisseurs!$A$5:$A$24,0)))*$U196*$AD196/($I196*$M196),"")</f>
        <v/>
      </c>
      <c r="AF196" s="28" t="str">
        <f aca="false">IF($Y196=1,INDEX(Fournisseurs!$L$5:$L$24,MATCH($C196,Fournisseurs!$A$5:$A$24,0))*$AD196/($I196*$M196),"")</f>
        <v/>
      </c>
      <c r="AG196" s="28" t="str">
        <f aca="false">IF($Y196=1,$AA196*$U196/$I196,"")</f>
        <v/>
      </c>
      <c r="AH196" s="28" t="str">
        <f aca="false">IF($Y196=1,$AB196*$U196/$I196,"")</f>
        <v/>
      </c>
      <c r="AI196" s="18" t="str">
        <f aca="false">IF($Y196=1,IF(AND(Paramètres!$B$4="EFFECTIVE",$W196="CH",$AB196&gt;0),1,0),"")</f>
        <v/>
      </c>
      <c r="AJ196" s="28" t="str">
        <f aca="false">IF($Y196=1,IF($X196&lt;&gt;"CH",($AG196+$AE196+$AF196)*Paramètres!$B$14,0),"")</f>
        <v/>
      </c>
      <c r="AK196" s="29" t="str">
        <f aca="false">IF($Y196=1,$AG196+IF($AI196=1,0,$AH196)+$AE196+$AF196+IF(Paramètres!$B$4="NOT_REGISTERED",$AJ196,0),"")</f>
        <v/>
      </c>
      <c r="AL196" s="27" t="str">
        <f aca="false">IF($Y196=1,($AK196+Paramètres!$B$7+Paramètres!$B$8+Paramètres!$B$9+Paramètres!$B$10)/((1-Paramètres!$B$11)/(1+Paramètres!$B$5)-Paramètres!$B$6),"")</f>
        <v/>
      </c>
      <c r="AM196" s="26" t="str">
        <f aca="false">IF(AND($Y196=1,ISNUMBER($R196)),IF($R196&gt;0,$AL196/$R196-1,""),"")</f>
        <v/>
      </c>
      <c r="AN196" s="27" t="str">
        <f aca="false">IF(AND($Y196=1,ISNUMBER($R196)),IF($R196&gt;0,$R196/(1+Paramètres!$B$5)-$AK196-($R196*Paramètres!$B$6+Paramètres!$B$7)-Paramètres!$B$8-Paramètres!$B$9-Paramètres!$B$10,""),"")</f>
        <v/>
      </c>
      <c r="AO196" s="26" t="str">
        <f aca="false">IF(ISNUMBER($AN196),$AN196/($R196/(1+Paramètres!$B$5)),"")</f>
        <v/>
      </c>
      <c r="AP196" s="30" t="str">
        <f aca="false">IF($A196="","",IF($Y196&lt;&gt;1,"INCOMPLET",IF(NOT(ISNUMBER($AM196)),"SANS RÉF. MARCHÉ",IF($AM196&lt;=Paramètres!$B$12,"OK",IF(AND($AO196&gt;=Paramètres!$B$15,$AN196&gt;=Paramètres!$B$16),"À REVOIR","NON RENTABLE")))))</f>
        <v/>
      </c>
      <c r="AQ196" s="18" t="str">
        <f aca="false">TRIM(IF(AND($Y196=1,ISNUMBER($N196)),IF($M196&lt;$N196,"MOQ ",""),"")&amp;IF(AND($Y196=1,ISNUMBER($O196)),IF($O196&lt;$I196*$M196,"DISPO ",""),"")&amp;IF($S196="O","FICTIF ","")&amp;IF($Y196=1,IF(AND($K196="TTC",$W196&lt;&gt;"CH"),"TVA-ÉTRANGÈRE ",""),""))</f>
        <v/>
      </c>
      <c r="AR196" s="18" t="str">
        <f aca="false">IF($Y196=1,COUNTIFS($A$6:$A$205,$A196,$AK$6:$AK$205,"&lt;"&amp;$AK196,$Y$6:$Y$205,1)+1,"")</f>
        <v/>
      </c>
      <c r="AS196" s="18" t="str">
        <f aca="false">IF(ISNUMBER($AR196),$A196&amp;"|"&amp;$AR196,"")</f>
        <v/>
      </c>
      <c r="AT196" s="27" t="str">
        <f aca="false">IF($Y196=1,$AK196*$I196*$M196,"")</f>
        <v/>
      </c>
    </row>
    <row r="197" customFormat="false" ht="15" hidden="false" customHeight="false" outlineLevel="0" collapsed="false">
      <c r="A197" s="9"/>
      <c r="B197" s="9"/>
      <c r="C197" s="9"/>
      <c r="D197" s="9"/>
      <c r="E197" s="9"/>
      <c r="F197" s="9"/>
      <c r="G197" s="9"/>
      <c r="H197" s="9"/>
      <c r="I197" s="9"/>
      <c r="J197" s="13"/>
      <c r="K197" s="9"/>
      <c r="L197" s="12"/>
      <c r="M197" s="9"/>
      <c r="N197" s="9"/>
      <c r="O197" s="9"/>
      <c r="P197" s="9"/>
      <c r="Q197" s="16"/>
      <c r="R197" s="13"/>
      <c r="S197" s="9"/>
      <c r="T197" s="18" t="str">
        <f aca="false">IF($C197="","",IFERROR(INDEX(Fournisseurs!$C$5:$C$24,MATCH($C197,Fournisseurs!$A$5:$A$24,0)),""))</f>
        <v/>
      </c>
      <c r="U197" s="25" t="str">
        <f aca="false">IF($C197="","",IFERROR(INDEX(Fournisseurs!$D$5:$D$24,MATCH($C197,Fournisseurs!$A$5:$A$24,0)),""))</f>
        <v/>
      </c>
      <c r="V197" s="26" t="str">
        <f aca="false">IF($C197="","",IFERROR(INDEX(Fournisseurs!$G$5:$G$24,MATCH($C197,Fournisseurs!$A$5:$A$24,0)),""))</f>
        <v/>
      </c>
      <c r="W197" s="18" t="str">
        <f aca="false">IF($C197="","",IFERROR(INDEX(Fournisseurs!$H$5:$H$24,MATCH($C197,Fournisseurs!$A$5:$A$24,0)),""))</f>
        <v/>
      </c>
      <c r="X197" s="18" t="str">
        <f aca="false">IF($C197="","",IFERROR(INDEX(Fournisseurs!$B$5:$B$24,MATCH($C197,Fournisseurs!$A$5:$A$24,0)),""))</f>
        <v/>
      </c>
      <c r="Y197" s="18" t="str">
        <f aca="false">IF($A197="","",IF(AND($A197&lt;&gt;"",$C197&lt;&gt;"",ISNUMBER($I197),ISNUMBER($J197),ISNUMBER($M197)),IF(AND($I197&gt;=1,$J197&gt;0,OR($K197="HT",$K197="TTC"),$M197&gt;=1,IFERROR(INDEX(Fournisseurs!$T$5:$T$24,MATCH($C197,Fournisseurs!$A$5:$A$24,0)),0)=1),1,0),0))</f>
        <v/>
      </c>
      <c r="Z197" s="27" t="str">
        <f aca="false">IF($Y197=1,$J197*(1-N($L197)),"")</f>
        <v/>
      </c>
      <c r="AA197" s="28" t="str">
        <f aca="false">IF($Y197=1,IF($K197="TTC",$Z197/(1+$V197),$Z197),"")</f>
        <v/>
      </c>
      <c r="AB197" s="28" t="str">
        <f aca="false">IF($Y197=1,IF($K197="TTC",$Z197-$AA197,$AA197*$V197),"")</f>
        <v/>
      </c>
      <c r="AC197" s="27" t="str">
        <f aca="false">IF($Y197=1,$AA197*$U197*$M197,"")</f>
        <v/>
      </c>
      <c r="AD197" s="26" t="str">
        <f aca="false">IF($Y197=1,$AC197/SUMIFS($AC$6:$AC$205,$C$6:$C$205,$C197,$Y$6:$Y$205,1),"")</f>
        <v/>
      </c>
      <c r="AE197" s="28" t="str">
        <f aca="false">IF($Y197=1,(INDEX(Fournisseurs!$J$5:$J$24,MATCH($C197,Fournisseurs!$A$5:$A$24,0))+INDEX(Fournisseurs!$K$5:$K$24,MATCH($C197,Fournisseurs!$A$5:$A$24,0)))*$U197*$AD197/($I197*$M197),"")</f>
        <v/>
      </c>
      <c r="AF197" s="28" t="str">
        <f aca="false">IF($Y197=1,INDEX(Fournisseurs!$L$5:$L$24,MATCH($C197,Fournisseurs!$A$5:$A$24,0))*$AD197/($I197*$M197),"")</f>
        <v/>
      </c>
      <c r="AG197" s="28" t="str">
        <f aca="false">IF($Y197=1,$AA197*$U197/$I197,"")</f>
        <v/>
      </c>
      <c r="AH197" s="28" t="str">
        <f aca="false">IF($Y197=1,$AB197*$U197/$I197,"")</f>
        <v/>
      </c>
      <c r="AI197" s="18" t="str">
        <f aca="false">IF($Y197=1,IF(AND(Paramètres!$B$4="EFFECTIVE",$W197="CH",$AB197&gt;0),1,0),"")</f>
        <v/>
      </c>
      <c r="AJ197" s="28" t="str">
        <f aca="false">IF($Y197=1,IF($X197&lt;&gt;"CH",($AG197+$AE197+$AF197)*Paramètres!$B$14,0),"")</f>
        <v/>
      </c>
      <c r="AK197" s="29" t="str">
        <f aca="false">IF($Y197=1,$AG197+IF($AI197=1,0,$AH197)+$AE197+$AF197+IF(Paramètres!$B$4="NOT_REGISTERED",$AJ197,0),"")</f>
        <v/>
      </c>
      <c r="AL197" s="27" t="str">
        <f aca="false">IF($Y197=1,($AK197+Paramètres!$B$7+Paramètres!$B$8+Paramètres!$B$9+Paramètres!$B$10)/((1-Paramètres!$B$11)/(1+Paramètres!$B$5)-Paramètres!$B$6),"")</f>
        <v/>
      </c>
      <c r="AM197" s="26" t="str">
        <f aca="false">IF(AND($Y197=1,ISNUMBER($R197)),IF($R197&gt;0,$AL197/$R197-1,""),"")</f>
        <v/>
      </c>
      <c r="AN197" s="27" t="str">
        <f aca="false">IF(AND($Y197=1,ISNUMBER($R197)),IF($R197&gt;0,$R197/(1+Paramètres!$B$5)-$AK197-($R197*Paramètres!$B$6+Paramètres!$B$7)-Paramètres!$B$8-Paramètres!$B$9-Paramètres!$B$10,""),"")</f>
        <v/>
      </c>
      <c r="AO197" s="26" t="str">
        <f aca="false">IF(ISNUMBER($AN197),$AN197/($R197/(1+Paramètres!$B$5)),"")</f>
        <v/>
      </c>
      <c r="AP197" s="30" t="str">
        <f aca="false">IF($A197="","",IF($Y197&lt;&gt;1,"INCOMPLET",IF(NOT(ISNUMBER($AM197)),"SANS RÉF. MARCHÉ",IF($AM197&lt;=Paramètres!$B$12,"OK",IF(AND($AO197&gt;=Paramètres!$B$15,$AN197&gt;=Paramètres!$B$16),"À REVOIR","NON RENTABLE")))))</f>
        <v/>
      </c>
      <c r="AQ197" s="18" t="str">
        <f aca="false">TRIM(IF(AND($Y197=1,ISNUMBER($N197)),IF($M197&lt;$N197,"MOQ ",""),"")&amp;IF(AND($Y197=1,ISNUMBER($O197)),IF($O197&lt;$I197*$M197,"DISPO ",""),"")&amp;IF($S197="O","FICTIF ","")&amp;IF($Y197=1,IF(AND($K197="TTC",$W197&lt;&gt;"CH"),"TVA-ÉTRANGÈRE ",""),""))</f>
        <v/>
      </c>
      <c r="AR197" s="18" t="str">
        <f aca="false">IF($Y197=1,COUNTIFS($A$6:$A$205,$A197,$AK$6:$AK$205,"&lt;"&amp;$AK197,$Y$6:$Y$205,1)+1,"")</f>
        <v/>
      </c>
      <c r="AS197" s="18" t="str">
        <f aca="false">IF(ISNUMBER($AR197),$A197&amp;"|"&amp;$AR197,"")</f>
        <v/>
      </c>
      <c r="AT197" s="27" t="str">
        <f aca="false">IF($Y197=1,$AK197*$I197*$M197,"")</f>
        <v/>
      </c>
    </row>
    <row r="198" customFormat="false" ht="15" hidden="false" customHeight="false" outlineLevel="0" collapsed="false">
      <c r="A198" s="9"/>
      <c r="B198" s="9"/>
      <c r="C198" s="9"/>
      <c r="D198" s="9"/>
      <c r="E198" s="9"/>
      <c r="F198" s="9"/>
      <c r="G198" s="9"/>
      <c r="H198" s="9"/>
      <c r="I198" s="9"/>
      <c r="J198" s="13"/>
      <c r="K198" s="9"/>
      <c r="L198" s="12"/>
      <c r="M198" s="9"/>
      <c r="N198" s="9"/>
      <c r="O198" s="9"/>
      <c r="P198" s="9"/>
      <c r="Q198" s="16"/>
      <c r="R198" s="13"/>
      <c r="S198" s="9"/>
      <c r="T198" s="18" t="str">
        <f aca="false">IF($C198="","",IFERROR(INDEX(Fournisseurs!$C$5:$C$24,MATCH($C198,Fournisseurs!$A$5:$A$24,0)),""))</f>
        <v/>
      </c>
      <c r="U198" s="25" t="str">
        <f aca="false">IF($C198="","",IFERROR(INDEX(Fournisseurs!$D$5:$D$24,MATCH($C198,Fournisseurs!$A$5:$A$24,0)),""))</f>
        <v/>
      </c>
      <c r="V198" s="26" t="str">
        <f aca="false">IF($C198="","",IFERROR(INDEX(Fournisseurs!$G$5:$G$24,MATCH($C198,Fournisseurs!$A$5:$A$24,0)),""))</f>
        <v/>
      </c>
      <c r="W198" s="18" t="str">
        <f aca="false">IF($C198="","",IFERROR(INDEX(Fournisseurs!$H$5:$H$24,MATCH($C198,Fournisseurs!$A$5:$A$24,0)),""))</f>
        <v/>
      </c>
      <c r="X198" s="18" t="str">
        <f aca="false">IF($C198="","",IFERROR(INDEX(Fournisseurs!$B$5:$B$24,MATCH($C198,Fournisseurs!$A$5:$A$24,0)),""))</f>
        <v/>
      </c>
      <c r="Y198" s="18" t="str">
        <f aca="false">IF($A198="","",IF(AND($A198&lt;&gt;"",$C198&lt;&gt;"",ISNUMBER($I198),ISNUMBER($J198),ISNUMBER($M198)),IF(AND($I198&gt;=1,$J198&gt;0,OR($K198="HT",$K198="TTC"),$M198&gt;=1,IFERROR(INDEX(Fournisseurs!$T$5:$T$24,MATCH($C198,Fournisseurs!$A$5:$A$24,0)),0)=1),1,0),0))</f>
        <v/>
      </c>
      <c r="Z198" s="27" t="str">
        <f aca="false">IF($Y198=1,$J198*(1-N($L198)),"")</f>
        <v/>
      </c>
      <c r="AA198" s="28" t="str">
        <f aca="false">IF($Y198=1,IF($K198="TTC",$Z198/(1+$V198),$Z198),"")</f>
        <v/>
      </c>
      <c r="AB198" s="28" t="str">
        <f aca="false">IF($Y198=1,IF($K198="TTC",$Z198-$AA198,$AA198*$V198),"")</f>
        <v/>
      </c>
      <c r="AC198" s="27" t="str">
        <f aca="false">IF($Y198=1,$AA198*$U198*$M198,"")</f>
        <v/>
      </c>
      <c r="AD198" s="26" t="str">
        <f aca="false">IF($Y198=1,$AC198/SUMIFS($AC$6:$AC$205,$C$6:$C$205,$C198,$Y$6:$Y$205,1),"")</f>
        <v/>
      </c>
      <c r="AE198" s="28" t="str">
        <f aca="false">IF($Y198=1,(INDEX(Fournisseurs!$J$5:$J$24,MATCH($C198,Fournisseurs!$A$5:$A$24,0))+INDEX(Fournisseurs!$K$5:$K$24,MATCH($C198,Fournisseurs!$A$5:$A$24,0)))*$U198*$AD198/($I198*$M198),"")</f>
        <v/>
      </c>
      <c r="AF198" s="28" t="str">
        <f aca="false">IF($Y198=1,INDEX(Fournisseurs!$L$5:$L$24,MATCH($C198,Fournisseurs!$A$5:$A$24,0))*$AD198/($I198*$M198),"")</f>
        <v/>
      </c>
      <c r="AG198" s="28" t="str">
        <f aca="false">IF($Y198=1,$AA198*$U198/$I198,"")</f>
        <v/>
      </c>
      <c r="AH198" s="28" t="str">
        <f aca="false">IF($Y198=1,$AB198*$U198/$I198,"")</f>
        <v/>
      </c>
      <c r="AI198" s="18" t="str">
        <f aca="false">IF($Y198=1,IF(AND(Paramètres!$B$4="EFFECTIVE",$W198="CH",$AB198&gt;0),1,0),"")</f>
        <v/>
      </c>
      <c r="AJ198" s="28" t="str">
        <f aca="false">IF($Y198=1,IF($X198&lt;&gt;"CH",($AG198+$AE198+$AF198)*Paramètres!$B$14,0),"")</f>
        <v/>
      </c>
      <c r="AK198" s="29" t="str">
        <f aca="false">IF($Y198=1,$AG198+IF($AI198=1,0,$AH198)+$AE198+$AF198+IF(Paramètres!$B$4="NOT_REGISTERED",$AJ198,0),"")</f>
        <v/>
      </c>
      <c r="AL198" s="27" t="str">
        <f aca="false">IF($Y198=1,($AK198+Paramètres!$B$7+Paramètres!$B$8+Paramètres!$B$9+Paramètres!$B$10)/((1-Paramètres!$B$11)/(1+Paramètres!$B$5)-Paramètres!$B$6),"")</f>
        <v/>
      </c>
      <c r="AM198" s="26" t="str">
        <f aca="false">IF(AND($Y198=1,ISNUMBER($R198)),IF($R198&gt;0,$AL198/$R198-1,""),"")</f>
        <v/>
      </c>
      <c r="AN198" s="27" t="str">
        <f aca="false">IF(AND($Y198=1,ISNUMBER($R198)),IF($R198&gt;0,$R198/(1+Paramètres!$B$5)-$AK198-($R198*Paramètres!$B$6+Paramètres!$B$7)-Paramètres!$B$8-Paramètres!$B$9-Paramètres!$B$10,""),"")</f>
        <v/>
      </c>
      <c r="AO198" s="26" t="str">
        <f aca="false">IF(ISNUMBER($AN198),$AN198/($R198/(1+Paramètres!$B$5)),"")</f>
        <v/>
      </c>
      <c r="AP198" s="30" t="str">
        <f aca="false">IF($A198="","",IF($Y198&lt;&gt;1,"INCOMPLET",IF(NOT(ISNUMBER($AM198)),"SANS RÉF. MARCHÉ",IF($AM198&lt;=Paramètres!$B$12,"OK",IF(AND($AO198&gt;=Paramètres!$B$15,$AN198&gt;=Paramètres!$B$16),"À REVOIR","NON RENTABLE")))))</f>
        <v/>
      </c>
      <c r="AQ198" s="18" t="str">
        <f aca="false">TRIM(IF(AND($Y198=1,ISNUMBER($N198)),IF($M198&lt;$N198,"MOQ ",""),"")&amp;IF(AND($Y198=1,ISNUMBER($O198)),IF($O198&lt;$I198*$M198,"DISPO ",""),"")&amp;IF($S198="O","FICTIF ","")&amp;IF($Y198=1,IF(AND($K198="TTC",$W198&lt;&gt;"CH"),"TVA-ÉTRANGÈRE ",""),""))</f>
        <v/>
      </c>
      <c r="AR198" s="18" t="str">
        <f aca="false">IF($Y198=1,COUNTIFS($A$6:$A$205,$A198,$AK$6:$AK$205,"&lt;"&amp;$AK198,$Y$6:$Y$205,1)+1,"")</f>
        <v/>
      </c>
      <c r="AS198" s="18" t="str">
        <f aca="false">IF(ISNUMBER($AR198),$A198&amp;"|"&amp;$AR198,"")</f>
        <v/>
      </c>
      <c r="AT198" s="27" t="str">
        <f aca="false">IF($Y198=1,$AK198*$I198*$M198,"")</f>
        <v/>
      </c>
    </row>
    <row r="199" customFormat="false" ht="15" hidden="false" customHeight="false" outlineLevel="0" collapsed="false">
      <c r="A199" s="9"/>
      <c r="B199" s="9"/>
      <c r="C199" s="9"/>
      <c r="D199" s="9"/>
      <c r="E199" s="9"/>
      <c r="F199" s="9"/>
      <c r="G199" s="9"/>
      <c r="H199" s="9"/>
      <c r="I199" s="9"/>
      <c r="J199" s="13"/>
      <c r="K199" s="9"/>
      <c r="L199" s="12"/>
      <c r="M199" s="9"/>
      <c r="N199" s="9"/>
      <c r="O199" s="9"/>
      <c r="P199" s="9"/>
      <c r="Q199" s="16"/>
      <c r="R199" s="13"/>
      <c r="S199" s="9"/>
      <c r="T199" s="18" t="str">
        <f aca="false">IF($C199="","",IFERROR(INDEX(Fournisseurs!$C$5:$C$24,MATCH($C199,Fournisseurs!$A$5:$A$24,0)),""))</f>
        <v/>
      </c>
      <c r="U199" s="25" t="str">
        <f aca="false">IF($C199="","",IFERROR(INDEX(Fournisseurs!$D$5:$D$24,MATCH($C199,Fournisseurs!$A$5:$A$24,0)),""))</f>
        <v/>
      </c>
      <c r="V199" s="26" t="str">
        <f aca="false">IF($C199="","",IFERROR(INDEX(Fournisseurs!$G$5:$G$24,MATCH($C199,Fournisseurs!$A$5:$A$24,0)),""))</f>
        <v/>
      </c>
      <c r="W199" s="18" t="str">
        <f aca="false">IF($C199="","",IFERROR(INDEX(Fournisseurs!$H$5:$H$24,MATCH($C199,Fournisseurs!$A$5:$A$24,0)),""))</f>
        <v/>
      </c>
      <c r="X199" s="18" t="str">
        <f aca="false">IF($C199="","",IFERROR(INDEX(Fournisseurs!$B$5:$B$24,MATCH($C199,Fournisseurs!$A$5:$A$24,0)),""))</f>
        <v/>
      </c>
      <c r="Y199" s="18" t="str">
        <f aca="false">IF($A199="","",IF(AND($A199&lt;&gt;"",$C199&lt;&gt;"",ISNUMBER($I199),ISNUMBER($J199),ISNUMBER($M199)),IF(AND($I199&gt;=1,$J199&gt;0,OR($K199="HT",$K199="TTC"),$M199&gt;=1,IFERROR(INDEX(Fournisseurs!$T$5:$T$24,MATCH($C199,Fournisseurs!$A$5:$A$24,0)),0)=1),1,0),0))</f>
        <v/>
      </c>
      <c r="Z199" s="27" t="str">
        <f aca="false">IF($Y199=1,$J199*(1-N($L199)),"")</f>
        <v/>
      </c>
      <c r="AA199" s="28" t="str">
        <f aca="false">IF($Y199=1,IF($K199="TTC",$Z199/(1+$V199),$Z199),"")</f>
        <v/>
      </c>
      <c r="AB199" s="28" t="str">
        <f aca="false">IF($Y199=1,IF($K199="TTC",$Z199-$AA199,$AA199*$V199),"")</f>
        <v/>
      </c>
      <c r="AC199" s="27" t="str">
        <f aca="false">IF($Y199=1,$AA199*$U199*$M199,"")</f>
        <v/>
      </c>
      <c r="AD199" s="26" t="str">
        <f aca="false">IF($Y199=1,$AC199/SUMIFS($AC$6:$AC$205,$C$6:$C$205,$C199,$Y$6:$Y$205,1),"")</f>
        <v/>
      </c>
      <c r="AE199" s="28" t="str">
        <f aca="false">IF($Y199=1,(INDEX(Fournisseurs!$J$5:$J$24,MATCH($C199,Fournisseurs!$A$5:$A$24,0))+INDEX(Fournisseurs!$K$5:$K$24,MATCH($C199,Fournisseurs!$A$5:$A$24,0)))*$U199*$AD199/($I199*$M199),"")</f>
        <v/>
      </c>
      <c r="AF199" s="28" t="str">
        <f aca="false">IF($Y199=1,INDEX(Fournisseurs!$L$5:$L$24,MATCH($C199,Fournisseurs!$A$5:$A$24,0))*$AD199/($I199*$M199),"")</f>
        <v/>
      </c>
      <c r="AG199" s="28" t="str">
        <f aca="false">IF($Y199=1,$AA199*$U199/$I199,"")</f>
        <v/>
      </c>
      <c r="AH199" s="28" t="str">
        <f aca="false">IF($Y199=1,$AB199*$U199/$I199,"")</f>
        <v/>
      </c>
      <c r="AI199" s="18" t="str">
        <f aca="false">IF($Y199=1,IF(AND(Paramètres!$B$4="EFFECTIVE",$W199="CH",$AB199&gt;0),1,0),"")</f>
        <v/>
      </c>
      <c r="AJ199" s="28" t="str">
        <f aca="false">IF($Y199=1,IF($X199&lt;&gt;"CH",($AG199+$AE199+$AF199)*Paramètres!$B$14,0),"")</f>
        <v/>
      </c>
      <c r="AK199" s="29" t="str">
        <f aca="false">IF($Y199=1,$AG199+IF($AI199=1,0,$AH199)+$AE199+$AF199+IF(Paramètres!$B$4="NOT_REGISTERED",$AJ199,0),"")</f>
        <v/>
      </c>
      <c r="AL199" s="27" t="str">
        <f aca="false">IF($Y199=1,($AK199+Paramètres!$B$7+Paramètres!$B$8+Paramètres!$B$9+Paramètres!$B$10)/((1-Paramètres!$B$11)/(1+Paramètres!$B$5)-Paramètres!$B$6),"")</f>
        <v/>
      </c>
      <c r="AM199" s="26" t="str">
        <f aca="false">IF(AND($Y199=1,ISNUMBER($R199)),IF($R199&gt;0,$AL199/$R199-1,""),"")</f>
        <v/>
      </c>
      <c r="AN199" s="27" t="str">
        <f aca="false">IF(AND($Y199=1,ISNUMBER($R199)),IF($R199&gt;0,$R199/(1+Paramètres!$B$5)-$AK199-($R199*Paramètres!$B$6+Paramètres!$B$7)-Paramètres!$B$8-Paramètres!$B$9-Paramètres!$B$10,""),"")</f>
        <v/>
      </c>
      <c r="AO199" s="26" t="str">
        <f aca="false">IF(ISNUMBER($AN199),$AN199/($R199/(1+Paramètres!$B$5)),"")</f>
        <v/>
      </c>
      <c r="AP199" s="30" t="str">
        <f aca="false">IF($A199="","",IF($Y199&lt;&gt;1,"INCOMPLET",IF(NOT(ISNUMBER($AM199)),"SANS RÉF. MARCHÉ",IF($AM199&lt;=Paramètres!$B$12,"OK",IF(AND($AO199&gt;=Paramètres!$B$15,$AN199&gt;=Paramètres!$B$16),"À REVOIR","NON RENTABLE")))))</f>
        <v/>
      </c>
      <c r="AQ199" s="18" t="str">
        <f aca="false">TRIM(IF(AND($Y199=1,ISNUMBER($N199)),IF($M199&lt;$N199,"MOQ ",""),"")&amp;IF(AND($Y199=1,ISNUMBER($O199)),IF($O199&lt;$I199*$M199,"DISPO ",""),"")&amp;IF($S199="O","FICTIF ","")&amp;IF($Y199=1,IF(AND($K199="TTC",$W199&lt;&gt;"CH"),"TVA-ÉTRANGÈRE ",""),""))</f>
        <v/>
      </c>
      <c r="AR199" s="18" t="str">
        <f aca="false">IF($Y199=1,COUNTIFS($A$6:$A$205,$A199,$AK$6:$AK$205,"&lt;"&amp;$AK199,$Y$6:$Y$205,1)+1,"")</f>
        <v/>
      </c>
      <c r="AS199" s="18" t="str">
        <f aca="false">IF(ISNUMBER($AR199),$A199&amp;"|"&amp;$AR199,"")</f>
        <v/>
      </c>
      <c r="AT199" s="27" t="str">
        <f aca="false">IF($Y199=1,$AK199*$I199*$M199,"")</f>
        <v/>
      </c>
    </row>
    <row r="200" customFormat="false" ht="15" hidden="false" customHeight="false" outlineLevel="0" collapsed="false">
      <c r="A200" s="9"/>
      <c r="B200" s="9"/>
      <c r="C200" s="9"/>
      <c r="D200" s="9"/>
      <c r="E200" s="9"/>
      <c r="F200" s="9"/>
      <c r="G200" s="9"/>
      <c r="H200" s="9"/>
      <c r="I200" s="9"/>
      <c r="J200" s="13"/>
      <c r="K200" s="9"/>
      <c r="L200" s="12"/>
      <c r="M200" s="9"/>
      <c r="N200" s="9"/>
      <c r="O200" s="9"/>
      <c r="P200" s="9"/>
      <c r="Q200" s="16"/>
      <c r="R200" s="13"/>
      <c r="S200" s="9"/>
      <c r="T200" s="18" t="str">
        <f aca="false">IF($C200="","",IFERROR(INDEX(Fournisseurs!$C$5:$C$24,MATCH($C200,Fournisseurs!$A$5:$A$24,0)),""))</f>
        <v/>
      </c>
      <c r="U200" s="25" t="str">
        <f aca="false">IF($C200="","",IFERROR(INDEX(Fournisseurs!$D$5:$D$24,MATCH($C200,Fournisseurs!$A$5:$A$24,0)),""))</f>
        <v/>
      </c>
      <c r="V200" s="26" t="str">
        <f aca="false">IF($C200="","",IFERROR(INDEX(Fournisseurs!$G$5:$G$24,MATCH($C200,Fournisseurs!$A$5:$A$24,0)),""))</f>
        <v/>
      </c>
      <c r="W200" s="18" t="str">
        <f aca="false">IF($C200="","",IFERROR(INDEX(Fournisseurs!$H$5:$H$24,MATCH($C200,Fournisseurs!$A$5:$A$24,0)),""))</f>
        <v/>
      </c>
      <c r="X200" s="18" t="str">
        <f aca="false">IF($C200="","",IFERROR(INDEX(Fournisseurs!$B$5:$B$24,MATCH($C200,Fournisseurs!$A$5:$A$24,0)),""))</f>
        <v/>
      </c>
      <c r="Y200" s="18" t="str">
        <f aca="false">IF($A200="","",IF(AND($A200&lt;&gt;"",$C200&lt;&gt;"",ISNUMBER($I200),ISNUMBER($J200),ISNUMBER($M200)),IF(AND($I200&gt;=1,$J200&gt;0,OR($K200="HT",$K200="TTC"),$M200&gt;=1,IFERROR(INDEX(Fournisseurs!$T$5:$T$24,MATCH($C200,Fournisseurs!$A$5:$A$24,0)),0)=1),1,0),0))</f>
        <v/>
      </c>
      <c r="Z200" s="27" t="str">
        <f aca="false">IF($Y200=1,$J200*(1-N($L200)),"")</f>
        <v/>
      </c>
      <c r="AA200" s="28" t="str">
        <f aca="false">IF($Y200=1,IF($K200="TTC",$Z200/(1+$V200),$Z200),"")</f>
        <v/>
      </c>
      <c r="AB200" s="28" t="str">
        <f aca="false">IF($Y200=1,IF($K200="TTC",$Z200-$AA200,$AA200*$V200),"")</f>
        <v/>
      </c>
      <c r="AC200" s="27" t="str">
        <f aca="false">IF($Y200=1,$AA200*$U200*$M200,"")</f>
        <v/>
      </c>
      <c r="AD200" s="26" t="str">
        <f aca="false">IF($Y200=1,$AC200/SUMIFS($AC$6:$AC$205,$C$6:$C$205,$C200,$Y$6:$Y$205,1),"")</f>
        <v/>
      </c>
      <c r="AE200" s="28" t="str">
        <f aca="false">IF($Y200=1,(INDEX(Fournisseurs!$J$5:$J$24,MATCH($C200,Fournisseurs!$A$5:$A$24,0))+INDEX(Fournisseurs!$K$5:$K$24,MATCH($C200,Fournisseurs!$A$5:$A$24,0)))*$U200*$AD200/($I200*$M200),"")</f>
        <v/>
      </c>
      <c r="AF200" s="28" t="str">
        <f aca="false">IF($Y200=1,INDEX(Fournisseurs!$L$5:$L$24,MATCH($C200,Fournisseurs!$A$5:$A$24,0))*$AD200/($I200*$M200),"")</f>
        <v/>
      </c>
      <c r="AG200" s="28" t="str">
        <f aca="false">IF($Y200=1,$AA200*$U200/$I200,"")</f>
        <v/>
      </c>
      <c r="AH200" s="28" t="str">
        <f aca="false">IF($Y200=1,$AB200*$U200/$I200,"")</f>
        <v/>
      </c>
      <c r="AI200" s="18" t="str">
        <f aca="false">IF($Y200=1,IF(AND(Paramètres!$B$4="EFFECTIVE",$W200="CH",$AB200&gt;0),1,0),"")</f>
        <v/>
      </c>
      <c r="AJ200" s="28" t="str">
        <f aca="false">IF($Y200=1,IF($X200&lt;&gt;"CH",($AG200+$AE200+$AF200)*Paramètres!$B$14,0),"")</f>
        <v/>
      </c>
      <c r="AK200" s="29" t="str">
        <f aca="false">IF($Y200=1,$AG200+IF($AI200=1,0,$AH200)+$AE200+$AF200+IF(Paramètres!$B$4="NOT_REGISTERED",$AJ200,0),"")</f>
        <v/>
      </c>
      <c r="AL200" s="27" t="str">
        <f aca="false">IF($Y200=1,($AK200+Paramètres!$B$7+Paramètres!$B$8+Paramètres!$B$9+Paramètres!$B$10)/((1-Paramètres!$B$11)/(1+Paramètres!$B$5)-Paramètres!$B$6),"")</f>
        <v/>
      </c>
      <c r="AM200" s="26" t="str">
        <f aca="false">IF(AND($Y200=1,ISNUMBER($R200)),IF($R200&gt;0,$AL200/$R200-1,""),"")</f>
        <v/>
      </c>
      <c r="AN200" s="27" t="str">
        <f aca="false">IF(AND($Y200=1,ISNUMBER($R200)),IF($R200&gt;0,$R200/(1+Paramètres!$B$5)-$AK200-($R200*Paramètres!$B$6+Paramètres!$B$7)-Paramètres!$B$8-Paramètres!$B$9-Paramètres!$B$10,""),"")</f>
        <v/>
      </c>
      <c r="AO200" s="26" t="str">
        <f aca="false">IF(ISNUMBER($AN200),$AN200/($R200/(1+Paramètres!$B$5)),"")</f>
        <v/>
      </c>
      <c r="AP200" s="30" t="str">
        <f aca="false">IF($A200="","",IF($Y200&lt;&gt;1,"INCOMPLET",IF(NOT(ISNUMBER($AM200)),"SANS RÉF. MARCHÉ",IF($AM200&lt;=Paramètres!$B$12,"OK",IF(AND($AO200&gt;=Paramètres!$B$15,$AN200&gt;=Paramètres!$B$16),"À REVOIR","NON RENTABLE")))))</f>
        <v/>
      </c>
      <c r="AQ200" s="18" t="str">
        <f aca="false">TRIM(IF(AND($Y200=1,ISNUMBER($N200)),IF($M200&lt;$N200,"MOQ ",""),"")&amp;IF(AND($Y200=1,ISNUMBER($O200)),IF($O200&lt;$I200*$M200,"DISPO ",""),"")&amp;IF($S200="O","FICTIF ","")&amp;IF($Y200=1,IF(AND($K200="TTC",$W200&lt;&gt;"CH"),"TVA-ÉTRANGÈRE ",""),""))</f>
        <v/>
      </c>
      <c r="AR200" s="18" t="str">
        <f aca="false">IF($Y200=1,COUNTIFS($A$6:$A$205,$A200,$AK$6:$AK$205,"&lt;"&amp;$AK200,$Y$6:$Y$205,1)+1,"")</f>
        <v/>
      </c>
      <c r="AS200" s="18" t="str">
        <f aca="false">IF(ISNUMBER($AR200),$A200&amp;"|"&amp;$AR200,"")</f>
        <v/>
      </c>
      <c r="AT200" s="27" t="str">
        <f aca="false">IF($Y200=1,$AK200*$I200*$M200,"")</f>
        <v/>
      </c>
    </row>
    <row r="201" customFormat="false" ht="15" hidden="false" customHeight="false" outlineLevel="0" collapsed="false">
      <c r="A201" s="9"/>
      <c r="B201" s="9"/>
      <c r="C201" s="9"/>
      <c r="D201" s="9"/>
      <c r="E201" s="9"/>
      <c r="F201" s="9"/>
      <c r="G201" s="9"/>
      <c r="H201" s="9"/>
      <c r="I201" s="9"/>
      <c r="J201" s="13"/>
      <c r="K201" s="9"/>
      <c r="L201" s="12"/>
      <c r="M201" s="9"/>
      <c r="N201" s="9"/>
      <c r="O201" s="9"/>
      <c r="P201" s="9"/>
      <c r="Q201" s="16"/>
      <c r="R201" s="13"/>
      <c r="S201" s="9"/>
      <c r="T201" s="18" t="str">
        <f aca="false">IF($C201="","",IFERROR(INDEX(Fournisseurs!$C$5:$C$24,MATCH($C201,Fournisseurs!$A$5:$A$24,0)),""))</f>
        <v/>
      </c>
      <c r="U201" s="25" t="str">
        <f aca="false">IF($C201="","",IFERROR(INDEX(Fournisseurs!$D$5:$D$24,MATCH($C201,Fournisseurs!$A$5:$A$24,0)),""))</f>
        <v/>
      </c>
      <c r="V201" s="26" t="str">
        <f aca="false">IF($C201="","",IFERROR(INDEX(Fournisseurs!$G$5:$G$24,MATCH($C201,Fournisseurs!$A$5:$A$24,0)),""))</f>
        <v/>
      </c>
      <c r="W201" s="18" t="str">
        <f aca="false">IF($C201="","",IFERROR(INDEX(Fournisseurs!$H$5:$H$24,MATCH($C201,Fournisseurs!$A$5:$A$24,0)),""))</f>
        <v/>
      </c>
      <c r="X201" s="18" t="str">
        <f aca="false">IF($C201="","",IFERROR(INDEX(Fournisseurs!$B$5:$B$24,MATCH($C201,Fournisseurs!$A$5:$A$24,0)),""))</f>
        <v/>
      </c>
      <c r="Y201" s="18" t="str">
        <f aca="false">IF($A201="","",IF(AND($A201&lt;&gt;"",$C201&lt;&gt;"",ISNUMBER($I201),ISNUMBER($J201),ISNUMBER($M201)),IF(AND($I201&gt;=1,$J201&gt;0,OR($K201="HT",$K201="TTC"),$M201&gt;=1,IFERROR(INDEX(Fournisseurs!$T$5:$T$24,MATCH($C201,Fournisseurs!$A$5:$A$24,0)),0)=1),1,0),0))</f>
        <v/>
      </c>
      <c r="Z201" s="27" t="str">
        <f aca="false">IF($Y201=1,$J201*(1-N($L201)),"")</f>
        <v/>
      </c>
      <c r="AA201" s="28" t="str">
        <f aca="false">IF($Y201=1,IF($K201="TTC",$Z201/(1+$V201),$Z201),"")</f>
        <v/>
      </c>
      <c r="AB201" s="28" t="str">
        <f aca="false">IF($Y201=1,IF($K201="TTC",$Z201-$AA201,$AA201*$V201),"")</f>
        <v/>
      </c>
      <c r="AC201" s="27" t="str">
        <f aca="false">IF($Y201=1,$AA201*$U201*$M201,"")</f>
        <v/>
      </c>
      <c r="AD201" s="26" t="str">
        <f aca="false">IF($Y201=1,$AC201/SUMIFS($AC$6:$AC$205,$C$6:$C$205,$C201,$Y$6:$Y$205,1),"")</f>
        <v/>
      </c>
      <c r="AE201" s="28" t="str">
        <f aca="false">IF($Y201=1,(INDEX(Fournisseurs!$J$5:$J$24,MATCH($C201,Fournisseurs!$A$5:$A$24,0))+INDEX(Fournisseurs!$K$5:$K$24,MATCH($C201,Fournisseurs!$A$5:$A$24,0)))*$U201*$AD201/($I201*$M201),"")</f>
        <v/>
      </c>
      <c r="AF201" s="28" t="str">
        <f aca="false">IF($Y201=1,INDEX(Fournisseurs!$L$5:$L$24,MATCH($C201,Fournisseurs!$A$5:$A$24,0))*$AD201/($I201*$M201),"")</f>
        <v/>
      </c>
      <c r="AG201" s="28" t="str">
        <f aca="false">IF($Y201=1,$AA201*$U201/$I201,"")</f>
        <v/>
      </c>
      <c r="AH201" s="28" t="str">
        <f aca="false">IF($Y201=1,$AB201*$U201/$I201,"")</f>
        <v/>
      </c>
      <c r="AI201" s="18" t="str">
        <f aca="false">IF($Y201=1,IF(AND(Paramètres!$B$4="EFFECTIVE",$W201="CH",$AB201&gt;0),1,0),"")</f>
        <v/>
      </c>
      <c r="AJ201" s="28" t="str">
        <f aca="false">IF($Y201=1,IF($X201&lt;&gt;"CH",($AG201+$AE201+$AF201)*Paramètres!$B$14,0),"")</f>
        <v/>
      </c>
      <c r="AK201" s="29" t="str">
        <f aca="false">IF($Y201=1,$AG201+IF($AI201=1,0,$AH201)+$AE201+$AF201+IF(Paramètres!$B$4="NOT_REGISTERED",$AJ201,0),"")</f>
        <v/>
      </c>
      <c r="AL201" s="27" t="str">
        <f aca="false">IF($Y201=1,($AK201+Paramètres!$B$7+Paramètres!$B$8+Paramètres!$B$9+Paramètres!$B$10)/((1-Paramètres!$B$11)/(1+Paramètres!$B$5)-Paramètres!$B$6),"")</f>
        <v/>
      </c>
      <c r="AM201" s="26" t="str">
        <f aca="false">IF(AND($Y201=1,ISNUMBER($R201)),IF($R201&gt;0,$AL201/$R201-1,""),"")</f>
        <v/>
      </c>
      <c r="AN201" s="27" t="str">
        <f aca="false">IF(AND($Y201=1,ISNUMBER($R201)),IF($R201&gt;0,$R201/(1+Paramètres!$B$5)-$AK201-($R201*Paramètres!$B$6+Paramètres!$B$7)-Paramètres!$B$8-Paramètres!$B$9-Paramètres!$B$10,""),"")</f>
        <v/>
      </c>
      <c r="AO201" s="26" t="str">
        <f aca="false">IF(ISNUMBER($AN201),$AN201/($R201/(1+Paramètres!$B$5)),"")</f>
        <v/>
      </c>
      <c r="AP201" s="30" t="str">
        <f aca="false">IF($A201="","",IF($Y201&lt;&gt;1,"INCOMPLET",IF(NOT(ISNUMBER($AM201)),"SANS RÉF. MARCHÉ",IF($AM201&lt;=Paramètres!$B$12,"OK",IF(AND($AO201&gt;=Paramètres!$B$15,$AN201&gt;=Paramètres!$B$16),"À REVOIR","NON RENTABLE")))))</f>
        <v/>
      </c>
      <c r="AQ201" s="18" t="str">
        <f aca="false">TRIM(IF(AND($Y201=1,ISNUMBER($N201)),IF($M201&lt;$N201,"MOQ ",""),"")&amp;IF(AND($Y201=1,ISNUMBER($O201)),IF($O201&lt;$I201*$M201,"DISPO ",""),"")&amp;IF($S201="O","FICTIF ","")&amp;IF($Y201=1,IF(AND($K201="TTC",$W201&lt;&gt;"CH"),"TVA-ÉTRANGÈRE ",""),""))</f>
        <v/>
      </c>
      <c r="AR201" s="18" t="str">
        <f aca="false">IF($Y201=1,COUNTIFS($A$6:$A$205,$A201,$AK$6:$AK$205,"&lt;"&amp;$AK201,$Y$6:$Y$205,1)+1,"")</f>
        <v/>
      </c>
      <c r="AS201" s="18" t="str">
        <f aca="false">IF(ISNUMBER($AR201),$A201&amp;"|"&amp;$AR201,"")</f>
        <v/>
      </c>
      <c r="AT201" s="27" t="str">
        <f aca="false">IF($Y201=1,$AK201*$I201*$M201,"")</f>
        <v/>
      </c>
    </row>
    <row r="202" customFormat="false" ht="15" hidden="false" customHeight="false" outlineLevel="0" collapsed="false">
      <c r="A202" s="9"/>
      <c r="B202" s="9"/>
      <c r="C202" s="9"/>
      <c r="D202" s="9"/>
      <c r="E202" s="9"/>
      <c r="F202" s="9"/>
      <c r="G202" s="9"/>
      <c r="H202" s="9"/>
      <c r="I202" s="9"/>
      <c r="J202" s="13"/>
      <c r="K202" s="9"/>
      <c r="L202" s="12"/>
      <c r="M202" s="9"/>
      <c r="N202" s="9"/>
      <c r="O202" s="9"/>
      <c r="P202" s="9"/>
      <c r="Q202" s="16"/>
      <c r="R202" s="13"/>
      <c r="S202" s="9"/>
      <c r="T202" s="18" t="str">
        <f aca="false">IF($C202="","",IFERROR(INDEX(Fournisseurs!$C$5:$C$24,MATCH($C202,Fournisseurs!$A$5:$A$24,0)),""))</f>
        <v/>
      </c>
      <c r="U202" s="25" t="str">
        <f aca="false">IF($C202="","",IFERROR(INDEX(Fournisseurs!$D$5:$D$24,MATCH($C202,Fournisseurs!$A$5:$A$24,0)),""))</f>
        <v/>
      </c>
      <c r="V202" s="26" t="str">
        <f aca="false">IF($C202="","",IFERROR(INDEX(Fournisseurs!$G$5:$G$24,MATCH($C202,Fournisseurs!$A$5:$A$24,0)),""))</f>
        <v/>
      </c>
      <c r="W202" s="18" t="str">
        <f aca="false">IF($C202="","",IFERROR(INDEX(Fournisseurs!$H$5:$H$24,MATCH($C202,Fournisseurs!$A$5:$A$24,0)),""))</f>
        <v/>
      </c>
      <c r="X202" s="18" t="str">
        <f aca="false">IF($C202="","",IFERROR(INDEX(Fournisseurs!$B$5:$B$24,MATCH($C202,Fournisseurs!$A$5:$A$24,0)),""))</f>
        <v/>
      </c>
      <c r="Y202" s="18" t="str">
        <f aca="false">IF($A202="","",IF(AND($A202&lt;&gt;"",$C202&lt;&gt;"",ISNUMBER($I202),ISNUMBER($J202),ISNUMBER($M202)),IF(AND($I202&gt;=1,$J202&gt;0,OR($K202="HT",$K202="TTC"),$M202&gt;=1,IFERROR(INDEX(Fournisseurs!$T$5:$T$24,MATCH($C202,Fournisseurs!$A$5:$A$24,0)),0)=1),1,0),0))</f>
        <v/>
      </c>
      <c r="Z202" s="27" t="str">
        <f aca="false">IF($Y202=1,$J202*(1-N($L202)),"")</f>
        <v/>
      </c>
      <c r="AA202" s="28" t="str">
        <f aca="false">IF($Y202=1,IF($K202="TTC",$Z202/(1+$V202),$Z202),"")</f>
        <v/>
      </c>
      <c r="AB202" s="28" t="str">
        <f aca="false">IF($Y202=1,IF($K202="TTC",$Z202-$AA202,$AA202*$V202),"")</f>
        <v/>
      </c>
      <c r="AC202" s="27" t="str">
        <f aca="false">IF($Y202=1,$AA202*$U202*$M202,"")</f>
        <v/>
      </c>
      <c r="AD202" s="26" t="str">
        <f aca="false">IF($Y202=1,$AC202/SUMIFS($AC$6:$AC$205,$C$6:$C$205,$C202,$Y$6:$Y$205,1),"")</f>
        <v/>
      </c>
      <c r="AE202" s="28" t="str">
        <f aca="false">IF($Y202=1,(INDEX(Fournisseurs!$J$5:$J$24,MATCH($C202,Fournisseurs!$A$5:$A$24,0))+INDEX(Fournisseurs!$K$5:$K$24,MATCH($C202,Fournisseurs!$A$5:$A$24,0)))*$U202*$AD202/($I202*$M202),"")</f>
        <v/>
      </c>
      <c r="AF202" s="28" t="str">
        <f aca="false">IF($Y202=1,INDEX(Fournisseurs!$L$5:$L$24,MATCH($C202,Fournisseurs!$A$5:$A$24,0))*$AD202/($I202*$M202),"")</f>
        <v/>
      </c>
      <c r="AG202" s="28" t="str">
        <f aca="false">IF($Y202=1,$AA202*$U202/$I202,"")</f>
        <v/>
      </c>
      <c r="AH202" s="28" t="str">
        <f aca="false">IF($Y202=1,$AB202*$U202/$I202,"")</f>
        <v/>
      </c>
      <c r="AI202" s="18" t="str">
        <f aca="false">IF($Y202=1,IF(AND(Paramètres!$B$4="EFFECTIVE",$W202="CH",$AB202&gt;0),1,0),"")</f>
        <v/>
      </c>
      <c r="AJ202" s="28" t="str">
        <f aca="false">IF($Y202=1,IF($X202&lt;&gt;"CH",($AG202+$AE202+$AF202)*Paramètres!$B$14,0),"")</f>
        <v/>
      </c>
      <c r="AK202" s="29" t="str">
        <f aca="false">IF($Y202=1,$AG202+IF($AI202=1,0,$AH202)+$AE202+$AF202+IF(Paramètres!$B$4="NOT_REGISTERED",$AJ202,0),"")</f>
        <v/>
      </c>
      <c r="AL202" s="27" t="str">
        <f aca="false">IF($Y202=1,($AK202+Paramètres!$B$7+Paramètres!$B$8+Paramètres!$B$9+Paramètres!$B$10)/((1-Paramètres!$B$11)/(1+Paramètres!$B$5)-Paramètres!$B$6),"")</f>
        <v/>
      </c>
      <c r="AM202" s="26" t="str">
        <f aca="false">IF(AND($Y202=1,ISNUMBER($R202)),IF($R202&gt;0,$AL202/$R202-1,""),"")</f>
        <v/>
      </c>
      <c r="AN202" s="27" t="str">
        <f aca="false">IF(AND($Y202=1,ISNUMBER($R202)),IF($R202&gt;0,$R202/(1+Paramètres!$B$5)-$AK202-($R202*Paramètres!$B$6+Paramètres!$B$7)-Paramètres!$B$8-Paramètres!$B$9-Paramètres!$B$10,""),"")</f>
        <v/>
      </c>
      <c r="AO202" s="26" t="str">
        <f aca="false">IF(ISNUMBER($AN202),$AN202/($R202/(1+Paramètres!$B$5)),"")</f>
        <v/>
      </c>
      <c r="AP202" s="30" t="str">
        <f aca="false">IF($A202="","",IF($Y202&lt;&gt;1,"INCOMPLET",IF(NOT(ISNUMBER($AM202)),"SANS RÉF. MARCHÉ",IF($AM202&lt;=Paramètres!$B$12,"OK",IF(AND($AO202&gt;=Paramètres!$B$15,$AN202&gt;=Paramètres!$B$16),"À REVOIR","NON RENTABLE")))))</f>
        <v/>
      </c>
      <c r="AQ202" s="18" t="str">
        <f aca="false">TRIM(IF(AND($Y202=1,ISNUMBER($N202)),IF($M202&lt;$N202,"MOQ ",""),"")&amp;IF(AND($Y202=1,ISNUMBER($O202)),IF($O202&lt;$I202*$M202,"DISPO ",""),"")&amp;IF($S202="O","FICTIF ","")&amp;IF($Y202=1,IF(AND($K202="TTC",$W202&lt;&gt;"CH"),"TVA-ÉTRANGÈRE ",""),""))</f>
        <v/>
      </c>
      <c r="AR202" s="18" t="str">
        <f aca="false">IF($Y202=1,COUNTIFS($A$6:$A$205,$A202,$AK$6:$AK$205,"&lt;"&amp;$AK202,$Y$6:$Y$205,1)+1,"")</f>
        <v/>
      </c>
      <c r="AS202" s="18" t="str">
        <f aca="false">IF(ISNUMBER($AR202),$A202&amp;"|"&amp;$AR202,"")</f>
        <v/>
      </c>
      <c r="AT202" s="27" t="str">
        <f aca="false">IF($Y202=1,$AK202*$I202*$M202,"")</f>
        <v/>
      </c>
    </row>
    <row r="203" customFormat="false" ht="15" hidden="false" customHeight="false" outlineLevel="0" collapsed="false">
      <c r="A203" s="9"/>
      <c r="B203" s="9"/>
      <c r="C203" s="9"/>
      <c r="D203" s="9"/>
      <c r="E203" s="9"/>
      <c r="F203" s="9"/>
      <c r="G203" s="9"/>
      <c r="H203" s="9"/>
      <c r="I203" s="9"/>
      <c r="J203" s="13"/>
      <c r="K203" s="9"/>
      <c r="L203" s="12"/>
      <c r="M203" s="9"/>
      <c r="N203" s="9"/>
      <c r="O203" s="9"/>
      <c r="P203" s="9"/>
      <c r="Q203" s="16"/>
      <c r="R203" s="13"/>
      <c r="S203" s="9"/>
      <c r="T203" s="18" t="str">
        <f aca="false">IF($C203="","",IFERROR(INDEX(Fournisseurs!$C$5:$C$24,MATCH($C203,Fournisseurs!$A$5:$A$24,0)),""))</f>
        <v/>
      </c>
      <c r="U203" s="25" t="str">
        <f aca="false">IF($C203="","",IFERROR(INDEX(Fournisseurs!$D$5:$D$24,MATCH($C203,Fournisseurs!$A$5:$A$24,0)),""))</f>
        <v/>
      </c>
      <c r="V203" s="26" t="str">
        <f aca="false">IF($C203="","",IFERROR(INDEX(Fournisseurs!$G$5:$G$24,MATCH($C203,Fournisseurs!$A$5:$A$24,0)),""))</f>
        <v/>
      </c>
      <c r="W203" s="18" t="str">
        <f aca="false">IF($C203="","",IFERROR(INDEX(Fournisseurs!$H$5:$H$24,MATCH($C203,Fournisseurs!$A$5:$A$24,0)),""))</f>
        <v/>
      </c>
      <c r="X203" s="18" t="str">
        <f aca="false">IF($C203="","",IFERROR(INDEX(Fournisseurs!$B$5:$B$24,MATCH($C203,Fournisseurs!$A$5:$A$24,0)),""))</f>
        <v/>
      </c>
      <c r="Y203" s="18" t="str">
        <f aca="false">IF($A203="","",IF(AND($A203&lt;&gt;"",$C203&lt;&gt;"",ISNUMBER($I203),ISNUMBER($J203),ISNUMBER($M203)),IF(AND($I203&gt;=1,$J203&gt;0,OR($K203="HT",$K203="TTC"),$M203&gt;=1,IFERROR(INDEX(Fournisseurs!$T$5:$T$24,MATCH($C203,Fournisseurs!$A$5:$A$24,0)),0)=1),1,0),0))</f>
        <v/>
      </c>
      <c r="Z203" s="27" t="str">
        <f aca="false">IF($Y203=1,$J203*(1-N($L203)),"")</f>
        <v/>
      </c>
      <c r="AA203" s="28" t="str">
        <f aca="false">IF($Y203=1,IF($K203="TTC",$Z203/(1+$V203),$Z203),"")</f>
        <v/>
      </c>
      <c r="AB203" s="28" t="str">
        <f aca="false">IF($Y203=1,IF($K203="TTC",$Z203-$AA203,$AA203*$V203),"")</f>
        <v/>
      </c>
      <c r="AC203" s="27" t="str">
        <f aca="false">IF($Y203=1,$AA203*$U203*$M203,"")</f>
        <v/>
      </c>
      <c r="AD203" s="26" t="str">
        <f aca="false">IF($Y203=1,$AC203/SUMIFS($AC$6:$AC$205,$C$6:$C$205,$C203,$Y$6:$Y$205,1),"")</f>
        <v/>
      </c>
      <c r="AE203" s="28" t="str">
        <f aca="false">IF($Y203=1,(INDEX(Fournisseurs!$J$5:$J$24,MATCH($C203,Fournisseurs!$A$5:$A$24,0))+INDEX(Fournisseurs!$K$5:$K$24,MATCH($C203,Fournisseurs!$A$5:$A$24,0)))*$U203*$AD203/($I203*$M203),"")</f>
        <v/>
      </c>
      <c r="AF203" s="28" t="str">
        <f aca="false">IF($Y203=1,INDEX(Fournisseurs!$L$5:$L$24,MATCH($C203,Fournisseurs!$A$5:$A$24,0))*$AD203/($I203*$M203),"")</f>
        <v/>
      </c>
      <c r="AG203" s="28" t="str">
        <f aca="false">IF($Y203=1,$AA203*$U203/$I203,"")</f>
        <v/>
      </c>
      <c r="AH203" s="28" t="str">
        <f aca="false">IF($Y203=1,$AB203*$U203/$I203,"")</f>
        <v/>
      </c>
      <c r="AI203" s="18" t="str">
        <f aca="false">IF($Y203=1,IF(AND(Paramètres!$B$4="EFFECTIVE",$W203="CH",$AB203&gt;0),1,0),"")</f>
        <v/>
      </c>
      <c r="AJ203" s="28" t="str">
        <f aca="false">IF($Y203=1,IF($X203&lt;&gt;"CH",($AG203+$AE203+$AF203)*Paramètres!$B$14,0),"")</f>
        <v/>
      </c>
      <c r="AK203" s="29" t="str">
        <f aca="false">IF($Y203=1,$AG203+IF($AI203=1,0,$AH203)+$AE203+$AF203+IF(Paramètres!$B$4="NOT_REGISTERED",$AJ203,0),"")</f>
        <v/>
      </c>
      <c r="AL203" s="27" t="str">
        <f aca="false">IF($Y203=1,($AK203+Paramètres!$B$7+Paramètres!$B$8+Paramètres!$B$9+Paramètres!$B$10)/((1-Paramètres!$B$11)/(1+Paramètres!$B$5)-Paramètres!$B$6),"")</f>
        <v/>
      </c>
      <c r="AM203" s="26" t="str">
        <f aca="false">IF(AND($Y203=1,ISNUMBER($R203)),IF($R203&gt;0,$AL203/$R203-1,""),"")</f>
        <v/>
      </c>
      <c r="AN203" s="27" t="str">
        <f aca="false">IF(AND($Y203=1,ISNUMBER($R203)),IF($R203&gt;0,$R203/(1+Paramètres!$B$5)-$AK203-($R203*Paramètres!$B$6+Paramètres!$B$7)-Paramètres!$B$8-Paramètres!$B$9-Paramètres!$B$10,""),"")</f>
        <v/>
      </c>
      <c r="AO203" s="26" t="str">
        <f aca="false">IF(ISNUMBER($AN203),$AN203/($R203/(1+Paramètres!$B$5)),"")</f>
        <v/>
      </c>
      <c r="AP203" s="30" t="str">
        <f aca="false">IF($A203="","",IF($Y203&lt;&gt;1,"INCOMPLET",IF(NOT(ISNUMBER($AM203)),"SANS RÉF. MARCHÉ",IF($AM203&lt;=Paramètres!$B$12,"OK",IF(AND($AO203&gt;=Paramètres!$B$15,$AN203&gt;=Paramètres!$B$16),"À REVOIR","NON RENTABLE")))))</f>
        <v/>
      </c>
      <c r="AQ203" s="18" t="str">
        <f aca="false">TRIM(IF(AND($Y203=1,ISNUMBER($N203)),IF($M203&lt;$N203,"MOQ ",""),"")&amp;IF(AND($Y203=1,ISNUMBER($O203)),IF($O203&lt;$I203*$M203,"DISPO ",""),"")&amp;IF($S203="O","FICTIF ","")&amp;IF($Y203=1,IF(AND($K203="TTC",$W203&lt;&gt;"CH"),"TVA-ÉTRANGÈRE ",""),""))</f>
        <v/>
      </c>
      <c r="AR203" s="18" t="str">
        <f aca="false">IF($Y203=1,COUNTIFS($A$6:$A$205,$A203,$AK$6:$AK$205,"&lt;"&amp;$AK203,$Y$6:$Y$205,1)+1,"")</f>
        <v/>
      </c>
      <c r="AS203" s="18" t="str">
        <f aca="false">IF(ISNUMBER($AR203),$A203&amp;"|"&amp;$AR203,"")</f>
        <v/>
      </c>
      <c r="AT203" s="27" t="str">
        <f aca="false">IF($Y203=1,$AK203*$I203*$M203,"")</f>
        <v/>
      </c>
    </row>
    <row r="204" customFormat="false" ht="15" hidden="false" customHeight="false" outlineLevel="0" collapsed="false">
      <c r="A204" s="9"/>
      <c r="B204" s="9"/>
      <c r="C204" s="9"/>
      <c r="D204" s="9"/>
      <c r="E204" s="9"/>
      <c r="F204" s="9"/>
      <c r="G204" s="9"/>
      <c r="H204" s="9"/>
      <c r="I204" s="9"/>
      <c r="J204" s="13"/>
      <c r="K204" s="9"/>
      <c r="L204" s="12"/>
      <c r="M204" s="9"/>
      <c r="N204" s="9"/>
      <c r="O204" s="9"/>
      <c r="P204" s="9"/>
      <c r="Q204" s="16"/>
      <c r="R204" s="13"/>
      <c r="S204" s="9"/>
      <c r="T204" s="18" t="str">
        <f aca="false">IF($C204="","",IFERROR(INDEX(Fournisseurs!$C$5:$C$24,MATCH($C204,Fournisseurs!$A$5:$A$24,0)),""))</f>
        <v/>
      </c>
      <c r="U204" s="25" t="str">
        <f aca="false">IF($C204="","",IFERROR(INDEX(Fournisseurs!$D$5:$D$24,MATCH($C204,Fournisseurs!$A$5:$A$24,0)),""))</f>
        <v/>
      </c>
      <c r="V204" s="26" t="str">
        <f aca="false">IF($C204="","",IFERROR(INDEX(Fournisseurs!$G$5:$G$24,MATCH($C204,Fournisseurs!$A$5:$A$24,0)),""))</f>
        <v/>
      </c>
      <c r="W204" s="18" t="str">
        <f aca="false">IF($C204="","",IFERROR(INDEX(Fournisseurs!$H$5:$H$24,MATCH($C204,Fournisseurs!$A$5:$A$24,0)),""))</f>
        <v/>
      </c>
      <c r="X204" s="18" t="str">
        <f aca="false">IF($C204="","",IFERROR(INDEX(Fournisseurs!$B$5:$B$24,MATCH($C204,Fournisseurs!$A$5:$A$24,0)),""))</f>
        <v/>
      </c>
      <c r="Y204" s="18" t="str">
        <f aca="false">IF($A204="","",IF(AND($A204&lt;&gt;"",$C204&lt;&gt;"",ISNUMBER($I204),ISNUMBER($J204),ISNUMBER($M204)),IF(AND($I204&gt;=1,$J204&gt;0,OR($K204="HT",$K204="TTC"),$M204&gt;=1,IFERROR(INDEX(Fournisseurs!$T$5:$T$24,MATCH($C204,Fournisseurs!$A$5:$A$24,0)),0)=1),1,0),0))</f>
        <v/>
      </c>
      <c r="Z204" s="27" t="str">
        <f aca="false">IF($Y204=1,$J204*(1-N($L204)),"")</f>
        <v/>
      </c>
      <c r="AA204" s="28" t="str">
        <f aca="false">IF($Y204=1,IF($K204="TTC",$Z204/(1+$V204),$Z204),"")</f>
        <v/>
      </c>
      <c r="AB204" s="28" t="str">
        <f aca="false">IF($Y204=1,IF($K204="TTC",$Z204-$AA204,$AA204*$V204),"")</f>
        <v/>
      </c>
      <c r="AC204" s="27" t="str">
        <f aca="false">IF($Y204=1,$AA204*$U204*$M204,"")</f>
        <v/>
      </c>
      <c r="AD204" s="26" t="str">
        <f aca="false">IF($Y204=1,$AC204/SUMIFS($AC$6:$AC$205,$C$6:$C$205,$C204,$Y$6:$Y$205,1),"")</f>
        <v/>
      </c>
      <c r="AE204" s="28" t="str">
        <f aca="false">IF($Y204=1,(INDEX(Fournisseurs!$J$5:$J$24,MATCH($C204,Fournisseurs!$A$5:$A$24,0))+INDEX(Fournisseurs!$K$5:$K$24,MATCH($C204,Fournisseurs!$A$5:$A$24,0)))*$U204*$AD204/($I204*$M204),"")</f>
        <v/>
      </c>
      <c r="AF204" s="28" t="str">
        <f aca="false">IF($Y204=1,INDEX(Fournisseurs!$L$5:$L$24,MATCH($C204,Fournisseurs!$A$5:$A$24,0))*$AD204/($I204*$M204),"")</f>
        <v/>
      </c>
      <c r="AG204" s="28" t="str">
        <f aca="false">IF($Y204=1,$AA204*$U204/$I204,"")</f>
        <v/>
      </c>
      <c r="AH204" s="28" t="str">
        <f aca="false">IF($Y204=1,$AB204*$U204/$I204,"")</f>
        <v/>
      </c>
      <c r="AI204" s="18" t="str">
        <f aca="false">IF($Y204=1,IF(AND(Paramètres!$B$4="EFFECTIVE",$W204="CH",$AB204&gt;0),1,0),"")</f>
        <v/>
      </c>
      <c r="AJ204" s="28" t="str">
        <f aca="false">IF($Y204=1,IF($X204&lt;&gt;"CH",($AG204+$AE204+$AF204)*Paramètres!$B$14,0),"")</f>
        <v/>
      </c>
      <c r="AK204" s="29" t="str">
        <f aca="false">IF($Y204=1,$AG204+IF($AI204=1,0,$AH204)+$AE204+$AF204+IF(Paramètres!$B$4="NOT_REGISTERED",$AJ204,0),"")</f>
        <v/>
      </c>
      <c r="AL204" s="27" t="str">
        <f aca="false">IF($Y204=1,($AK204+Paramètres!$B$7+Paramètres!$B$8+Paramètres!$B$9+Paramètres!$B$10)/((1-Paramètres!$B$11)/(1+Paramètres!$B$5)-Paramètres!$B$6),"")</f>
        <v/>
      </c>
      <c r="AM204" s="26" t="str">
        <f aca="false">IF(AND($Y204=1,ISNUMBER($R204)),IF($R204&gt;0,$AL204/$R204-1,""),"")</f>
        <v/>
      </c>
      <c r="AN204" s="27" t="str">
        <f aca="false">IF(AND($Y204=1,ISNUMBER($R204)),IF($R204&gt;0,$R204/(1+Paramètres!$B$5)-$AK204-($R204*Paramètres!$B$6+Paramètres!$B$7)-Paramètres!$B$8-Paramètres!$B$9-Paramètres!$B$10,""),"")</f>
        <v/>
      </c>
      <c r="AO204" s="26" t="str">
        <f aca="false">IF(ISNUMBER($AN204),$AN204/($R204/(1+Paramètres!$B$5)),"")</f>
        <v/>
      </c>
      <c r="AP204" s="30" t="str">
        <f aca="false">IF($A204="","",IF($Y204&lt;&gt;1,"INCOMPLET",IF(NOT(ISNUMBER($AM204)),"SANS RÉF. MARCHÉ",IF($AM204&lt;=Paramètres!$B$12,"OK",IF(AND($AO204&gt;=Paramètres!$B$15,$AN204&gt;=Paramètres!$B$16),"À REVOIR","NON RENTABLE")))))</f>
        <v/>
      </c>
      <c r="AQ204" s="18" t="str">
        <f aca="false">TRIM(IF(AND($Y204=1,ISNUMBER($N204)),IF($M204&lt;$N204,"MOQ ",""),"")&amp;IF(AND($Y204=1,ISNUMBER($O204)),IF($O204&lt;$I204*$M204,"DISPO ",""),"")&amp;IF($S204="O","FICTIF ","")&amp;IF($Y204=1,IF(AND($K204="TTC",$W204&lt;&gt;"CH"),"TVA-ÉTRANGÈRE ",""),""))</f>
        <v/>
      </c>
      <c r="AR204" s="18" t="str">
        <f aca="false">IF($Y204=1,COUNTIFS($A$6:$A$205,$A204,$AK$6:$AK$205,"&lt;"&amp;$AK204,$Y$6:$Y$205,1)+1,"")</f>
        <v/>
      </c>
      <c r="AS204" s="18" t="str">
        <f aca="false">IF(ISNUMBER($AR204),$A204&amp;"|"&amp;$AR204,"")</f>
        <v/>
      </c>
      <c r="AT204" s="27" t="str">
        <f aca="false">IF($Y204=1,$AK204*$I204*$M204,"")</f>
        <v/>
      </c>
    </row>
    <row r="205" customFormat="false" ht="15" hidden="false" customHeight="false" outlineLevel="0" collapsed="false">
      <c r="A205" s="9"/>
      <c r="B205" s="9"/>
      <c r="C205" s="9"/>
      <c r="D205" s="9"/>
      <c r="E205" s="9"/>
      <c r="F205" s="9"/>
      <c r="G205" s="9"/>
      <c r="H205" s="9"/>
      <c r="I205" s="9"/>
      <c r="J205" s="13"/>
      <c r="K205" s="9"/>
      <c r="L205" s="12"/>
      <c r="M205" s="9"/>
      <c r="N205" s="9"/>
      <c r="O205" s="9"/>
      <c r="P205" s="9"/>
      <c r="Q205" s="16"/>
      <c r="R205" s="13"/>
      <c r="S205" s="9"/>
      <c r="T205" s="18" t="str">
        <f aca="false">IF($C205="","",IFERROR(INDEX(Fournisseurs!$C$5:$C$24,MATCH($C205,Fournisseurs!$A$5:$A$24,0)),""))</f>
        <v/>
      </c>
      <c r="U205" s="25" t="str">
        <f aca="false">IF($C205="","",IFERROR(INDEX(Fournisseurs!$D$5:$D$24,MATCH($C205,Fournisseurs!$A$5:$A$24,0)),""))</f>
        <v/>
      </c>
      <c r="V205" s="26" t="str">
        <f aca="false">IF($C205="","",IFERROR(INDEX(Fournisseurs!$G$5:$G$24,MATCH($C205,Fournisseurs!$A$5:$A$24,0)),""))</f>
        <v/>
      </c>
      <c r="W205" s="18" t="str">
        <f aca="false">IF($C205="","",IFERROR(INDEX(Fournisseurs!$H$5:$H$24,MATCH($C205,Fournisseurs!$A$5:$A$24,0)),""))</f>
        <v/>
      </c>
      <c r="X205" s="18" t="str">
        <f aca="false">IF($C205="","",IFERROR(INDEX(Fournisseurs!$B$5:$B$24,MATCH($C205,Fournisseurs!$A$5:$A$24,0)),""))</f>
        <v/>
      </c>
      <c r="Y205" s="18" t="str">
        <f aca="false">IF($A205="","",IF(AND($A205&lt;&gt;"",$C205&lt;&gt;"",ISNUMBER($I205),ISNUMBER($J205),ISNUMBER($M205)),IF(AND($I205&gt;=1,$J205&gt;0,OR($K205="HT",$K205="TTC"),$M205&gt;=1,IFERROR(INDEX(Fournisseurs!$T$5:$T$24,MATCH($C205,Fournisseurs!$A$5:$A$24,0)),0)=1),1,0),0))</f>
        <v/>
      </c>
      <c r="Z205" s="27" t="str">
        <f aca="false">IF($Y205=1,$J205*(1-N($L205)),"")</f>
        <v/>
      </c>
      <c r="AA205" s="28" t="str">
        <f aca="false">IF($Y205=1,IF($K205="TTC",$Z205/(1+$V205),$Z205),"")</f>
        <v/>
      </c>
      <c r="AB205" s="28" t="str">
        <f aca="false">IF($Y205=1,IF($K205="TTC",$Z205-$AA205,$AA205*$V205),"")</f>
        <v/>
      </c>
      <c r="AC205" s="27" t="str">
        <f aca="false">IF($Y205=1,$AA205*$U205*$M205,"")</f>
        <v/>
      </c>
      <c r="AD205" s="26" t="str">
        <f aca="false">IF($Y205=1,$AC205/SUMIFS($AC$6:$AC$205,$C$6:$C$205,$C205,$Y$6:$Y$205,1),"")</f>
        <v/>
      </c>
      <c r="AE205" s="28" t="str">
        <f aca="false">IF($Y205=1,(INDEX(Fournisseurs!$J$5:$J$24,MATCH($C205,Fournisseurs!$A$5:$A$24,0))+INDEX(Fournisseurs!$K$5:$K$24,MATCH($C205,Fournisseurs!$A$5:$A$24,0)))*$U205*$AD205/($I205*$M205),"")</f>
        <v/>
      </c>
      <c r="AF205" s="28" t="str">
        <f aca="false">IF($Y205=1,INDEX(Fournisseurs!$L$5:$L$24,MATCH($C205,Fournisseurs!$A$5:$A$24,0))*$AD205/($I205*$M205),"")</f>
        <v/>
      </c>
      <c r="AG205" s="28" t="str">
        <f aca="false">IF($Y205=1,$AA205*$U205/$I205,"")</f>
        <v/>
      </c>
      <c r="AH205" s="28" t="str">
        <f aca="false">IF($Y205=1,$AB205*$U205/$I205,"")</f>
        <v/>
      </c>
      <c r="AI205" s="18" t="str">
        <f aca="false">IF($Y205=1,IF(AND(Paramètres!$B$4="EFFECTIVE",$W205="CH",$AB205&gt;0),1,0),"")</f>
        <v/>
      </c>
      <c r="AJ205" s="28" t="str">
        <f aca="false">IF($Y205=1,IF($X205&lt;&gt;"CH",($AG205+$AE205+$AF205)*Paramètres!$B$14,0),"")</f>
        <v/>
      </c>
      <c r="AK205" s="29" t="str">
        <f aca="false">IF($Y205=1,$AG205+IF($AI205=1,0,$AH205)+$AE205+$AF205+IF(Paramètres!$B$4="NOT_REGISTERED",$AJ205,0),"")</f>
        <v/>
      </c>
      <c r="AL205" s="27" t="str">
        <f aca="false">IF($Y205=1,($AK205+Paramètres!$B$7+Paramètres!$B$8+Paramètres!$B$9+Paramètres!$B$10)/((1-Paramètres!$B$11)/(1+Paramètres!$B$5)-Paramètres!$B$6),"")</f>
        <v/>
      </c>
      <c r="AM205" s="26" t="str">
        <f aca="false">IF(AND($Y205=1,ISNUMBER($R205)),IF($R205&gt;0,$AL205/$R205-1,""),"")</f>
        <v/>
      </c>
      <c r="AN205" s="27" t="str">
        <f aca="false">IF(AND($Y205=1,ISNUMBER($R205)),IF($R205&gt;0,$R205/(1+Paramètres!$B$5)-$AK205-($R205*Paramètres!$B$6+Paramètres!$B$7)-Paramètres!$B$8-Paramètres!$B$9-Paramètres!$B$10,""),"")</f>
        <v/>
      </c>
      <c r="AO205" s="26" t="str">
        <f aca="false">IF(ISNUMBER($AN205),$AN205/($R205/(1+Paramètres!$B$5)),"")</f>
        <v/>
      </c>
      <c r="AP205" s="30" t="str">
        <f aca="false">IF($A205="","",IF($Y205&lt;&gt;1,"INCOMPLET",IF(NOT(ISNUMBER($AM205)),"SANS RÉF. MARCHÉ",IF($AM205&lt;=Paramètres!$B$12,"OK",IF(AND($AO205&gt;=Paramètres!$B$15,$AN205&gt;=Paramètres!$B$16),"À REVOIR","NON RENTABLE")))))</f>
        <v/>
      </c>
      <c r="AQ205" s="18" t="str">
        <f aca="false">TRIM(IF(AND($Y205=1,ISNUMBER($N205)),IF($M205&lt;$N205,"MOQ ",""),"")&amp;IF(AND($Y205=1,ISNUMBER($O205)),IF($O205&lt;$I205*$M205,"DISPO ",""),"")&amp;IF($S205="O","FICTIF ","")&amp;IF($Y205=1,IF(AND($K205="TTC",$W205&lt;&gt;"CH"),"TVA-ÉTRANGÈRE ",""),""))</f>
        <v/>
      </c>
      <c r="AR205" s="18" t="str">
        <f aca="false">IF($Y205=1,COUNTIFS($A$6:$A$205,$A205,$AK$6:$AK$205,"&lt;"&amp;$AK205,$Y$6:$Y$205,1)+1,"")</f>
        <v/>
      </c>
      <c r="AS205" s="18" t="str">
        <f aca="false">IF(ISNUMBER($AR205),$A205&amp;"|"&amp;$AR205,"")</f>
        <v/>
      </c>
      <c r="AT205" s="27" t="str">
        <f aca="false">IF($Y205=1,$AK205*$I205*$M205,"")</f>
        <v/>
      </c>
    </row>
  </sheetData>
  <conditionalFormatting sqref="AP6:AP205">
    <cfRule type="cellIs" priority="2" operator="equal" aboveAverage="0" equalAverage="0" bottom="0" percent="0" rank="0" text="" dxfId="0">
      <formula>"OK"</formula>
    </cfRule>
    <cfRule type="cellIs" priority="3" operator="equal" aboveAverage="0" equalAverage="0" bottom="0" percent="0" rank="0" text="" dxfId="1">
      <formula>"À REVOIR"</formula>
    </cfRule>
    <cfRule type="cellIs" priority="4" operator="equal" aboveAverage="0" equalAverage="0" bottom="0" percent="0" rank="0" text="" dxfId="2">
      <formula>"NON RENTABLE"</formula>
    </cfRule>
    <cfRule type="cellIs" priority="5" operator="equal" aboveAverage="0" equalAverage="0" bottom="0" percent="0" rank="0" text="" dxfId="3">
      <formula>"INCOMPLET"</formula>
    </cfRule>
  </conditionalFormatting>
  <conditionalFormatting sqref="AR6:AR205">
    <cfRule type="expression" priority="6" aboveAverage="0" equalAverage="0" bottom="0" percent="0" rank="0" text="" dxfId="4">
      <formula>$AR6=1</formula>
    </cfRule>
  </conditionalFormatting>
  <dataValidations count="4">
    <dataValidation allowBlank="true" errorStyle="stop" operator="between" showDropDown="false" showErrorMessage="false" showInputMessage="false" sqref="C6:C205" type="list">
      <formula1>Fournisseurs!$A$5:$A$24</formula1>
      <formula2>0</formula2>
    </dataValidation>
    <dataValidation allowBlank="true" errorStyle="stop" operator="between" showDropDown="false" showErrorMessage="false" showInputMessage="false" sqref="K6:K205" type="list">
      <formula1>"HT,TTC"</formula1>
      <formula2>0</formula2>
    </dataValidation>
    <dataValidation allowBlank="true" errorStyle="stop" operator="between" showDropDown="false" showErrorMessage="false" showInputMessage="false" sqref="P6:P205" type="list">
      <formula1>"O,N"</formula1>
      <formula2>0</formula2>
    </dataValidation>
    <dataValidation allowBlank="true" errorStyle="stop" operator="between" showDropDown="false" showErrorMessage="false" showInputMessage="false" sqref="S6:S205" type="list">
      <formula1>"O,N"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10"/>
    <col collapsed="false" customWidth="true" hidden="false" outlineLevel="0" max="4" min="4" style="0" width="24"/>
    <col collapsed="false" customWidth="true" hidden="false" outlineLevel="0" max="5" min="5" style="0" width="12"/>
    <col collapsed="false" customWidth="true" hidden="false" outlineLevel="0" max="6" min="6" style="0" width="24"/>
    <col collapsed="false" customWidth="true" hidden="false" outlineLevel="0" max="7" min="7" style="0" width="12"/>
    <col collapsed="false" customWidth="true" hidden="false" outlineLevel="0" max="8" min="8" style="0" width="10"/>
    <col collapsed="false" customWidth="true" hidden="false" outlineLevel="0" max="10" min="9" style="0" width="12"/>
    <col collapsed="false" customWidth="true" hidden="false" outlineLevel="0" max="11" min="11" style="0" width="16"/>
    <col collapsed="false" customWidth="true" hidden="false" outlineLevel="0" max="12" min="12" style="0" width="18"/>
  </cols>
  <sheetData>
    <row r="1" customFormat="false" ht="17.35" hidden="false" customHeight="false" outlineLevel="0" collapsed="false">
      <c r="A1" s="5" t="s">
        <v>204</v>
      </c>
    </row>
    <row r="2" customFormat="false" ht="15" hidden="false" customHeight="false" outlineLevel="0" collapsed="false">
      <c r="A2" s="6" t="s">
        <v>205</v>
      </c>
    </row>
    <row r="4" customFormat="false" ht="48" hidden="false" customHeight="true" outlineLevel="0" collapsed="false">
      <c r="A4" s="7" t="s">
        <v>102</v>
      </c>
      <c r="B4" s="7" t="s">
        <v>206</v>
      </c>
      <c r="C4" s="7" t="s">
        <v>207</v>
      </c>
      <c r="D4" s="7" t="s">
        <v>208</v>
      </c>
      <c r="E4" s="7" t="s">
        <v>209</v>
      </c>
      <c r="F4" s="7" t="s">
        <v>210</v>
      </c>
      <c r="G4" s="7" t="s">
        <v>211</v>
      </c>
      <c r="H4" s="7" t="s">
        <v>212</v>
      </c>
      <c r="I4" s="7" t="s">
        <v>213</v>
      </c>
      <c r="J4" s="7" t="s">
        <v>214</v>
      </c>
      <c r="K4" s="7" t="s">
        <v>215</v>
      </c>
      <c r="L4" s="7" t="s">
        <v>216</v>
      </c>
    </row>
    <row r="5" customFormat="false" ht="15" hidden="false" customHeight="false" outlineLevel="0" collapsed="false">
      <c r="A5" s="24" t="s">
        <v>144</v>
      </c>
      <c r="B5" s="24" t="s">
        <v>145</v>
      </c>
      <c r="C5" s="18" t="n">
        <f aca="false">COUNTIFS(Offres!$A$6:$A$205,$A5,Offres!$Y$6:$Y$205,1)</f>
        <v>2</v>
      </c>
      <c r="D5" s="18" t="str">
        <f aca="false">IFERROR(INDEX(Offres!$C$6:$C$205,MATCH($A5&amp;"|1",Offres!$AS$6:$AS$205,0)),"")</f>
        <v>FICTIF_FOURNISSEUR_A</v>
      </c>
      <c r="E5" s="27" t="n">
        <f aca="false">IFERROR(INDEX(Offres!$AK$6:$AK$205,MATCH($A5&amp;"|1",Offres!$AS$6:$AS$205,0)),"")</f>
        <v>41.98</v>
      </c>
      <c r="F5" s="18" t="str">
        <f aca="false">IFERROR(INDEX(Offres!$C$6:$C$205,MATCH($A5&amp;"|2",Offres!$AS$6:$AS$205,0)),"")</f>
        <v>FICTIF_FOURNISSEUR_B</v>
      </c>
      <c r="G5" s="27" t="n">
        <f aca="false">IFERROR(INDEX(Offres!$AK$6:$AK$205,MATCH($A5&amp;"|2",Offres!$AS$6:$AS$205,0)),"")</f>
        <v>47.6609620721554</v>
      </c>
      <c r="H5" s="26" t="n">
        <f aca="false">IF(AND(ISNUMBER($E5),ISNUMBER($G5)),$G5/$E5-1,"")</f>
        <v>0.135325442404846</v>
      </c>
      <c r="I5" s="27" t="n">
        <f aca="false">IFERROR(INDEX(Offres!$R$6:$R$205,MATCH($A5&amp;"|1",Offres!$AS$6:$AS$205,0)),"")</f>
        <v>69.9</v>
      </c>
      <c r="J5" s="27" t="n">
        <f aca="false">IFERROR(INDEX(Offres!$AL$6:$AL$205,MATCH($A5&amp;"|1",Offres!$AS$6:$AS$205,0)),"")</f>
        <v>71.7147126362431</v>
      </c>
      <c r="K5" s="18" t="str">
        <f aca="false">IF($C5=0,"AUCUNE OFFRE",IFERROR(INDEX(Offres!$AP$6:$AP$205,MATCH($A5&amp;"|1",Offres!$AS$6:$AS$205,0)),""))</f>
        <v>OK</v>
      </c>
      <c r="L5" s="18" t="str">
        <f aca="false">IFERROR(INDEX(Offres!$AQ$6:$AQ$205,MATCH($A5&amp;"|1",Offres!$AS$6:$AS$205,0)),"")</f>
        <v>FICTIF</v>
      </c>
    </row>
    <row r="6" customFormat="false" ht="15" hidden="false" customHeight="false" outlineLevel="0" collapsed="false">
      <c r="A6" s="8" t="s">
        <v>152</v>
      </c>
      <c r="B6" s="8" t="s">
        <v>153</v>
      </c>
      <c r="C6" s="18" t="n">
        <f aca="false">COUNTIFS(Offres!$A$6:$A$205,$A6,Offres!$Y$6:$Y$205,1)</f>
        <v>0</v>
      </c>
      <c r="D6" s="18" t="str">
        <f aca="false">IFERROR(INDEX(Offres!$C$6:$C$205,MATCH($A6&amp;"|1",Offres!$AS$6:$AS$205,0)),"")</f>
        <v/>
      </c>
      <c r="E6" s="27" t="str">
        <f aca="false">IFERROR(INDEX(Offres!$AK$6:$AK$205,MATCH($A6&amp;"|1",Offres!$AS$6:$AS$205,0)),"")</f>
        <v/>
      </c>
      <c r="F6" s="18" t="str">
        <f aca="false">IFERROR(INDEX(Offres!$C$6:$C$205,MATCH($A6&amp;"|2",Offres!$AS$6:$AS$205,0)),"")</f>
        <v/>
      </c>
      <c r="G6" s="27" t="str">
        <f aca="false">IFERROR(INDEX(Offres!$AK$6:$AK$205,MATCH($A6&amp;"|2",Offres!$AS$6:$AS$205,0)),"")</f>
        <v/>
      </c>
      <c r="H6" s="26" t="str">
        <f aca="false">IF(AND(ISNUMBER($E6),ISNUMBER($G6)),$G6/$E6-1,"")</f>
        <v/>
      </c>
      <c r="I6" s="27" t="str">
        <f aca="false">IFERROR(INDEX(Offres!$R$6:$R$205,MATCH($A6&amp;"|1",Offres!$AS$6:$AS$205,0)),"")</f>
        <v/>
      </c>
      <c r="J6" s="27" t="str">
        <f aca="false">IFERROR(INDEX(Offres!$AL$6:$AL$205,MATCH($A6&amp;"|1",Offres!$AS$6:$AS$205,0)),"")</f>
        <v/>
      </c>
      <c r="K6" s="18" t="str">
        <f aca="false">IF($C6=0,"AUCUNE OFFRE",IFERROR(INDEX(Offres!$AP$6:$AP$205,MATCH($A6&amp;"|1",Offres!$AS$6:$AS$205,0)),""))</f>
        <v>AUCUNE OFFRE</v>
      </c>
      <c r="L6" s="18" t="str">
        <f aca="false">IFERROR(INDEX(Offres!$AQ$6:$AQ$205,MATCH($A6&amp;"|1",Offres!$AS$6:$AS$205,0)),"")</f>
        <v/>
      </c>
    </row>
    <row r="7" customFormat="false" ht="15" hidden="false" customHeight="false" outlineLevel="0" collapsed="false">
      <c r="A7" s="8" t="s">
        <v>156</v>
      </c>
      <c r="B7" s="8" t="s">
        <v>157</v>
      </c>
      <c r="C7" s="18" t="n">
        <f aca="false">COUNTIFS(Offres!$A$6:$A$205,$A7,Offres!$Y$6:$Y$205,1)</f>
        <v>0</v>
      </c>
      <c r="D7" s="18" t="str">
        <f aca="false">IFERROR(INDEX(Offres!$C$6:$C$205,MATCH($A7&amp;"|1",Offres!$AS$6:$AS$205,0)),"")</f>
        <v/>
      </c>
      <c r="E7" s="27" t="str">
        <f aca="false">IFERROR(INDEX(Offres!$AK$6:$AK$205,MATCH($A7&amp;"|1",Offres!$AS$6:$AS$205,0)),"")</f>
        <v/>
      </c>
      <c r="F7" s="18" t="str">
        <f aca="false">IFERROR(INDEX(Offres!$C$6:$C$205,MATCH($A7&amp;"|2",Offres!$AS$6:$AS$205,0)),"")</f>
        <v/>
      </c>
      <c r="G7" s="27" t="str">
        <f aca="false">IFERROR(INDEX(Offres!$AK$6:$AK$205,MATCH($A7&amp;"|2",Offres!$AS$6:$AS$205,0)),"")</f>
        <v/>
      </c>
      <c r="H7" s="26" t="str">
        <f aca="false">IF(AND(ISNUMBER($E7),ISNUMBER($G7)),$G7/$E7-1,"")</f>
        <v/>
      </c>
      <c r="I7" s="27" t="str">
        <f aca="false">IFERROR(INDEX(Offres!$R$6:$R$205,MATCH($A7&amp;"|1",Offres!$AS$6:$AS$205,0)),"")</f>
        <v/>
      </c>
      <c r="J7" s="27" t="str">
        <f aca="false">IFERROR(INDEX(Offres!$AL$6:$AL$205,MATCH($A7&amp;"|1",Offres!$AS$6:$AS$205,0)),"")</f>
        <v/>
      </c>
      <c r="K7" s="18" t="str">
        <f aca="false">IF($C7=0,"AUCUNE OFFRE",IFERROR(INDEX(Offres!$AP$6:$AP$205,MATCH($A7&amp;"|1",Offres!$AS$6:$AS$205,0)),""))</f>
        <v>AUCUNE OFFRE</v>
      </c>
      <c r="L7" s="18" t="str">
        <f aca="false">IFERROR(INDEX(Offres!$AQ$6:$AQ$205,MATCH($A7&amp;"|1",Offres!$AS$6:$AS$205,0)),"")</f>
        <v/>
      </c>
    </row>
    <row r="8" customFormat="false" ht="15" hidden="false" customHeight="false" outlineLevel="0" collapsed="false">
      <c r="A8" s="8" t="s">
        <v>159</v>
      </c>
      <c r="B8" s="8" t="s">
        <v>160</v>
      </c>
      <c r="C8" s="18" t="n">
        <f aca="false">COUNTIFS(Offres!$A$6:$A$205,$A8,Offres!$Y$6:$Y$205,1)</f>
        <v>0</v>
      </c>
      <c r="D8" s="18" t="str">
        <f aca="false">IFERROR(INDEX(Offres!$C$6:$C$205,MATCH($A8&amp;"|1",Offres!$AS$6:$AS$205,0)),"")</f>
        <v/>
      </c>
      <c r="E8" s="27" t="str">
        <f aca="false">IFERROR(INDEX(Offres!$AK$6:$AK$205,MATCH($A8&amp;"|1",Offres!$AS$6:$AS$205,0)),"")</f>
        <v/>
      </c>
      <c r="F8" s="18" t="str">
        <f aca="false">IFERROR(INDEX(Offres!$C$6:$C$205,MATCH($A8&amp;"|2",Offres!$AS$6:$AS$205,0)),"")</f>
        <v/>
      </c>
      <c r="G8" s="27" t="str">
        <f aca="false">IFERROR(INDEX(Offres!$AK$6:$AK$205,MATCH($A8&amp;"|2",Offres!$AS$6:$AS$205,0)),"")</f>
        <v/>
      </c>
      <c r="H8" s="26" t="str">
        <f aca="false">IF(AND(ISNUMBER($E8),ISNUMBER($G8)),$G8/$E8-1,"")</f>
        <v/>
      </c>
      <c r="I8" s="27" t="str">
        <f aca="false">IFERROR(INDEX(Offres!$R$6:$R$205,MATCH($A8&amp;"|1",Offres!$AS$6:$AS$205,0)),"")</f>
        <v/>
      </c>
      <c r="J8" s="27" t="str">
        <f aca="false">IFERROR(INDEX(Offres!$AL$6:$AL$205,MATCH($A8&amp;"|1",Offres!$AS$6:$AS$205,0)),"")</f>
        <v/>
      </c>
      <c r="K8" s="18" t="str">
        <f aca="false">IF($C8=0,"AUCUNE OFFRE",IFERROR(INDEX(Offres!$AP$6:$AP$205,MATCH($A8&amp;"|1",Offres!$AS$6:$AS$205,0)),""))</f>
        <v>AUCUNE OFFRE</v>
      </c>
      <c r="L8" s="18" t="str">
        <f aca="false">IFERROR(INDEX(Offres!$AQ$6:$AQ$205,MATCH($A8&amp;"|1",Offres!$AS$6:$AS$205,0)),"")</f>
        <v/>
      </c>
    </row>
    <row r="9" customFormat="false" ht="15" hidden="false" customHeight="false" outlineLevel="0" collapsed="false">
      <c r="A9" s="8" t="s">
        <v>162</v>
      </c>
      <c r="B9" s="8" t="s">
        <v>163</v>
      </c>
      <c r="C9" s="18" t="n">
        <f aca="false">COUNTIFS(Offres!$A$6:$A$205,$A9,Offres!$Y$6:$Y$205,1)</f>
        <v>0</v>
      </c>
      <c r="D9" s="18" t="str">
        <f aca="false">IFERROR(INDEX(Offres!$C$6:$C$205,MATCH($A9&amp;"|1",Offres!$AS$6:$AS$205,0)),"")</f>
        <v/>
      </c>
      <c r="E9" s="27" t="str">
        <f aca="false">IFERROR(INDEX(Offres!$AK$6:$AK$205,MATCH($A9&amp;"|1",Offres!$AS$6:$AS$205,0)),"")</f>
        <v/>
      </c>
      <c r="F9" s="18" t="str">
        <f aca="false">IFERROR(INDEX(Offres!$C$6:$C$205,MATCH($A9&amp;"|2",Offres!$AS$6:$AS$205,0)),"")</f>
        <v/>
      </c>
      <c r="G9" s="27" t="str">
        <f aca="false">IFERROR(INDEX(Offres!$AK$6:$AK$205,MATCH($A9&amp;"|2",Offres!$AS$6:$AS$205,0)),"")</f>
        <v/>
      </c>
      <c r="H9" s="26" t="str">
        <f aca="false">IF(AND(ISNUMBER($E9),ISNUMBER($G9)),$G9/$E9-1,"")</f>
        <v/>
      </c>
      <c r="I9" s="27" t="str">
        <f aca="false">IFERROR(INDEX(Offres!$R$6:$R$205,MATCH($A9&amp;"|1",Offres!$AS$6:$AS$205,0)),"")</f>
        <v/>
      </c>
      <c r="J9" s="27" t="str">
        <f aca="false">IFERROR(INDEX(Offres!$AL$6:$AL$205,MATCH($A9&amp;"|1",Offres!$AS$6:$AS$205,0)),"")</f>
        <v/>
      </c>
      <c r="K9" s="18" t="str">
        <f aca="false">IF($C9=0,"AUCUNE OFFRE",IFERROR(INDEX(Offres!$AP$6:$AP$205,MATCH($A9&amp;"|1",Offres!$AS$6:$AS$205,0)),""))</f>
        <v>AUCUNE OFFRE</v>
      </c>
      <c r="L9" s="18" t="str">
        <f aca="false">IFERROR(INDEX(Offres!$AQ$6:$AQ$205,MATCH($A9&amp;"|1",Offres!$AS$6:$AS$205,0)),"")</f>
        <v/>
      </c>
    </row>
    <row r="10" customFormat="false" ht="15" hidden="false" customHeight="false" outlineLevel="0" collapsed="false">
      <c r="A10" s="8" t="s">
        <v>164</v>
      </c>
      <c r="B10" s="8" t="s">
        <v>165</v>
      </c>
      <c r="C10" s="18" t="n">
        <f aca="false">COUNTIFS(Offres!$A$6:$A$205,$A10,Offres!$Y$6:$Y$205,1)</f>
        <v>0</v>
      </c>
      <c r="D10" s="18" t="str">
        <f aca="false">IFERROR(INDEX(Offres!$C$6:$C$205,MATCH($A10&amp;"|1",Offres!$AS$6:$AS$205,0)),"")</f>
        <v/>
      </c>
      <c r="E10" s="27" t="str">
        <f aca="false">IFERROR(INDEX(Offres!$AK$6:$AK$205,MATCH($A10&amp;"|1",Offres!$AS$6:$AS$205,0)),"")</f>
        <v/>
      </c>
      <c r="F10" s="18" t="str">
        <f aca="false">IFERROR(INDEX(Offres!$C$6:$C$205,MATCH($A10&amp;"|2",Offres!$AS$6:$AS$205,0)),"")</f>
        <v/>
      </c>
      <c r="G10" s="27" t="str">
        <f aca="false">IFERROR(INDEX(Offres!$AK$6:$AK$205,MATCH($A10&amp;"|2",Offres!$AS$6:$AS$205,0)),"")</f>
        <v/>
      </c>
      <c r="H10" s="26" t="str">
        <f aca="false">IF(AND(ISNUMBER($E10),ISNUMBER($G10)),$G10/$E10-1,"")</f>
        <v/>
      </c>
      <c r="I10" s="27" t="str">
        <f aca="false">IFERROR(INDEX(Offres!$R$6:$R$205,MATCH($A10&amp;"|1",Offres!$AS$6:$AS$205,0)),"")</f>
        <v/>
      </c>
      <c r="J10" s="27" t="str">
        <f aca="false">IFERROR(INDEX(Offres!$AL$6:$AL$205,MATCH($A10&amp;"|1",Offres!$AS$6:$AS$205,0)),"")</f>
        <v/>
      </c>
      <c r="K10" s="18" t="str">
        <f aca="false">IF($C10=0,"AUCUNE OFFRE",IFERROR(INDEX(Offres!$AP$6:$AP$205,MATCH($A10&amp;"|1",Offres!$AS$6:$AS$205,0)),""))</f>
        <v>AUCUNE OFFRE</v>
      </c>
      <c r="L10" s="18" t="str">
        <f aca="false">IFERROR(INDEX(Offres!$AQ$6:$AQ$205,MATCH($A10&amp;"|1",Offres!$AS$6:$AS$205,0)),"")</f>
        <v/>
      </c>
    </row>
    <row r="11" customFormat="false" ht="15" hidden="false" customHeight="false" outlineLevel="0" collapsed="false">
      <c r="A11" s="8" t="s">
        <v>167</v>
      </c>
      <c r="B11" s="8" t="s">
        <v>168</v>
      </c>
      <c r="C11" s="18" t="n">
        <f aca="false">COUNTIFS(Offres!$A$6:$A$205,$A11,Offres!$Y$6:$Y$205,1)</f>
        <v>0</v>
      </c>
      <c r="D11" s="18" t="str">
        <f aca="false">IFERROR(INDEX(Offres!$C$6:$C$205,MATCH($A11&amp;"|1",Offres!$AS$6:$AS$205,0)),"")</f>
        <v/>
      </c>
      <c r="E11" s="27" t="str">
        <f aca="false">IFERROR(INDEX(Offres!$AK$6:$AK$205,MATCH($A11&amp;"|1",Offres!$AS$6:$AS$205,0)),"")</f>
        <v/>
      </c>
      <c r="F11" s="18" t="str">
        <f aca="false">IFERROR(INDEX(Offres!$C$6:$C$205,MATCH($A11&amp;"|2",Offres!$AS$6:$AS$205,0)),"")</f>
        <v/>
      </c>
      <c r="G11" s="27" t="str">
        <f aca="false">IFERROR(INDEX(Offres!$AK$6:$AK$205,MATCH($A11&amp;"|2",Offres!$AS$6:$AS$205,0)),"")</f>
        <v/>
      </c>
      <c r="H11" s="26" t="str">
        <f aca="false">IF(AND(ISNUMBER($E11),ISNUMBER($G11)),$G11/$E11-1,"")</f>
        <v/>
      </c>
      <c r="I11" s="27" t="str">
        <f aca="false">IFERROR(INDEX(Offres!$R$6:$R$205,MATCH($A11&amp;"|1",Offres!$AS$6:$AS$205,0)),"")</f>
        <v/>
      </c>
      <c r="J11" s="27" t="str">
        <f aca="false">IFERROR(INDEX(Offres!$AL$6:$AL$205,MATCH($A11&amp;"|1",Offres!$AS$6:$AS$205,0)),"")</f>
        <v/>
      </c>
      <c r="K11" s="18" t="str">
        <f aca="false">IF($C11=0,"AUCUNE OFFRE",IFERROR(INDEX(Offres!$AP$6:$AP$205,MATCH($A11&amp;"|1",Offres!$AS$6:$AS$205,0)),""))</f>
        <v>AUCUNE OFFRE</v>
      </c>
      <c r="L11" s="18" t="str">
        <f aca="false">IFERROR(INDEX(Offres!$AQ$6:$AQ$205,MATCH($A11&amp;"|1",Offres!$AS$6:$AS$205,0)),"")</f>
        <v/>
      </c>
    </row>
    <row r="12" customFormat="false" ht="15" hidden="false" customHeight="false" outlineLevel="0" collapsed="false">
      <c r="A12" s="8" t="s">
        <v>170</v>
      </c>
      <c r="B12" s="8" t="s">
        <v>171</v>
      </c>
      <c r="C12" s="18" t="n">
        <f aca="false">COUNTIFS(Offres!$A$6:$A$205,$A12,Offres!$Y$6:$Y$205,1)</f>
        <v>0</v>
      </c>
      <c r="D12" s="18" t="str">
        <f aca="false">IFERROR(INDEX(Offres!$C$6:$C$205,MATCH($A12&amp;"|1",Offres!$AS$6:$AS$205,0)),"")</f>
        <v/>
      </c>
      <c r="E12" s="27" t="str">
        <f aca="false">IFERROR(INDEX(Offres!$AK$6:$AK$205,MATCH($A12&amp;"|1",Offres!$AS$6:$AS$205,0)),"")</f>
        <v/>
      </c>
      <c r="F12" s="18" t="str">
        <f aca="false">IFERROR(INDEX(Offres!$C$6:$C$205,MATCH($A12&amp;"|2",Offres!$AS$6:$AS$205,0)),"")</f>
        <v/>
      </c>
      <c r="G12" s="27" t="str">
        <f aca="false">IFERROR(INDEX(Offres!$AK$6:$AK$205,MATCH($A12&amp;"|2",Offres!$AS$6:$AS$205,0)),"")</f>
        <v/>
      </c>
      <c r="H12" s="26" t="str">
        <f aca="false">IF(AND(ISNUMBER($E12),ISNUMBER($G12)),$G12/$E12-1,"")</f>
        <v/>
      </c>
      <c r="I12" s="27" t="str">
        <f aca="false">IFERROR(INDEX(Offres!$R$6:$R$205,MATCH($A12&amp;"|1",Offres!$AS$6:$AS$205,0)),"")</f>
        <v/>
      </c>
      <c r="J12" s="27" t="str">
        <f aca="false">IFERROR(INDEX(Offres!$AL$6:$AL$205,MATCH($A12&amp;"|1",Offres!$AS$6:$AS$205,0)),"")</f>
        <v/>
      </c>
      <c r="K12" s="18" t="str">
        <f aca="false">IF($C12=0,"AUCUNE OFFRE",IFERROR(INDEX(Offres!$AP$6:$AP$205,MATCH($A12&amp;"|1",Offres!$AS$6:$AS$205,0)),""))</f>
        <v>AUCUNE OFFRE</v>
      </c>
      <c r="L12" s="18" t="str">
        <f aca="false">IFERROR(INDEX(Offres!$AQ$6:$AQ$205,MATCH($A12&amp;"|1",Offres!$AS$6:$AS$205,0)),"")</f>
        <v/>
      </c>
    </row>
    <row r="13" customFormat="false" ht="15" hidden="false" customHeight="false" outlineLevel="0" collapsed="false">
      <c r="A13" s="8" t="s">
        <v>173</v>
      </c>
      <c r="B13" s="8" t="s">
        <v>174</v>
      </c>
      <c r="C13" s="18" t="n">
        <f aca="false">COUNTIFS(Offres!$A$6:$A$205,$A13,Offres!$Y$6:$Y$205,1)</f>
        <v>0</v>
      </c>
      <c r="D13" s="18" t="str">
        <f aca="false">IFERROR(INDEX(Offres!$C$6:$C$205,MATCH($A13&amp;"|1",Offres!$AS$6:$AS$205,0)),"")</f>
        <v/>
      </c>
      <c r="E13" s="27" t="str">
        <f aca="false">IFERROR(INDEX(Offres!$AK$6:$AK$205,MATCH($A13&amp;"|1",Offres!$AS$6:$AS$205,0)),"")</f>
        <v/>
      </c>
      <c r="F13" s="18" t="str">
        <f aca="false">IFERROR(INDEX(Offres!$C$6:$C$205,MATCH($A13&amp;"|2",Offres!$AS$6:$AS$205,0)),"")</f>
        <v/>
      </c>
      <c r="G13" s="27" t="str">
        <f aca="false">IFERROR(INDEX(Offres!$AK$6:$AK$205,MATCH($A13&amp;"|2",Offres!$AS$6:$AS$205,0)),"")</f>
        <v/>
      </c>
      <c r="H13" s="26" t="str">
        <f aca="false">IF(AND(ISNUMBER($E13),ISNUMBER($G13)),$G13/$E13-1,"")</f>
        <v/>
      </c>
      <c r="I13" s="27" t="str">
        <f aca="false">IFERROR(INDEX(Offres!$R$6:$R$205,MATCH($A13&amp;"|1",Offres!$AS$6:$AS$205,0)),"")</f>
        <v/>
      </c>
      <c r="J13" s="27" t="str">
        <f aca="false">IFERROR(INDEX(Offres!$AL$6:$AL$205,MATCH($A13&amp;"|1",Offres!$AS$6:$AS$205,0)),"")</f>
        <v/>
      </c>
      <c r="K13" s="18" t="str">
        <f aca="false">IF($C13=0,"AUCUNE OFFRE",IFERROR(INDEX(Offres!$AP$6:$AP$205,MATCH($A13&amp;"|1",Offres!$AS$6:$AS$205,0)),""))</f>
        <v>AUCUNE OFFRE</v>
      </c>
      <c r="L13" s="18" t="str">
        <f aca="false">IFERROR(INDEX(Offres!$AQ$6:$AQ$205,MATCH($A13&amp;"|1",Offres!$AS$6:$AS$205,0)),"")</f>
        <v/>
      </c>
    </row>
    <row r="14" customFormat="false" ht="15" hidden="false" customHeight="false" outlineLevel="0" collapsed="false">
      <c r="A14" s="8" t="s">
        <v>175</v>
      </c>
      <c r="B14" s="8" t="s">
        <v>176</v>
      </c>
      <c r="C14" s="18" t="n">
        <f aca="false">COUNTIFS(Offres!$A$6:$A$205,$A14,Offres!$Y$6:$Y$205,1)</f>
        <v>0</v>
      </c>
      <c r="D14" s="18" t="str">
        <f aca="false">IFERROR(INDEX(Offres!$C$6:$C$205,MATCH($A14&amp;"|1",Offres!$AS$6:$AS$205,0)),"")</f>
        <v/>
      </c>
      <c r="E14" s="27" t="str">
        <f aca="false">IFERROR(INDEX(Offres!$AK$6:$AK$205,MATCH($A14&amp;"|1",Offres!$AS$6:$AS$205,0)),"")</f>
        <v/>
      </c>
      <c r="F14" s="18" t="str">
        <f aca="false">IFERROR(INDEX(Offres!$C$6:$C$205,MATCH($A14&amp;"|2",Offres!$AS$6:$AS$205,0)),"")</f>
        <v/>
      </c>
      <c r="G14" s="27" t="str">
        <f aca="false">IFERROR(INDEX(Offres!$AK$6:$AK$205,MATCH($A14&amp;"|2",Offres!$AS$6:$AS$205,0)),"")</f>
        <v/>
      </c>
      <c r="H14" s="26" t="str">
        <f aca="false">IF(AND(ISNUMBER($E14),ISNUMBER($G14)),$G14/$E14-1,"")</f>
        <v/>
      </c>
      <c r="I14" s="27" t="str">
        <f aca="false">IFERROR(INDEX(Offres!$R$6:$R$205,MATCH($A14&amp;"|1",Offres!$AS$6:$AS$205,0)),"")</f>
        <v/>
      </c>
      <c r="J14" s="27" t="str">
        <f aca="false">IFERROR(INDEX(Offres!$AL$6:$AL$205,MATCH($A14&amp;"|1",Offres!$AS$6:$AS$205,0)),"")</f>
        <v/>
      </c>
      <c r="K14" s="18" t="str">
        <f aca="false">IF($C14=0,"AUCUNE OFFRE",IFERROR(INDEX(Offres!$AP$6:$AP$205,MATCH($A14&amp;"|1",Offres!$AS$6:$AS$205,0)),""))</f>
        <v>AUCUNE OFFRE</v>
      </c>
      <c r="L14" s="18" t="str">
        <f aca="false">IFERROR(INDEX(Offres!$AQ$6:$AQ$205,MATCH($A14&amp;"|1",Offres!$AS$6:$AS$205,0)),"")</f>
        <v/>
      </c>
    </row>
    <row r="15" customFormat="false" ht="15" hidden="false" customHeight="false" outlineLevel="0" collapsed="false">
      <c r="A15" s="8" t="s">
        <v>178</v>
      </c>
      <c r="B15" s="8" t="s">
        <v>179</v>
      </c>
      <c r="C15" s="18" t="n">
        <f aca="false">COUNTIFS(Offres!$A$6:$A$205,$A15,Offres!$Y$6:$Y$205,1)</f>
        <v>0</v>
      </c>
      <c r="D15" s="18" t="str">
        <f aca="false">IFERROR(INDEX(Offres!$C$6:$C$205,MATCH($A15&amp;"|1",Offres!$AS$6:$AS$205,0)),"")</f>
        <v/>
      </c>
      <c r="E15" s="27" t="str">
        <f aca="false">IFERROR(INDEX(Offres!$AK$6:$AK$205,MATCH($A15&amp;"|1",Offres!$AS$6:$AS$205,0)),"")</f>
        <v/>
      </c>
      <c r="F15" s="18" t="str">
        <f aca="false">IFERROR(INDEX(Offres!$C$6:$C$205,MATCH($A15&amp;"|2",Offres!$AS$6:$AS$205,0)),"")</f>
        <v/>
      </c>
      <c r="G15" s="27" t="str">
        <f aca="false">IFERROR(INDEX(Offres!$AK$6:$AK$205,MATCH($A15&amp;"|2",Offres!$AS$6:$AS$205,0)),"")</f>
        <v/>
      </c>
      <c r="H15" s="26" t="str">
        <f aca="false">IF(AND(ISNUMBER($E15),ISNUMBER($G15)),$G15/$E15-1,"")</f>
        <v/>
      </c>
      <c r="I15" s="27" t="str">
        <f aca="false">IFERROR(INDEX(Offres!$R$6:$R$205,MATCH($A15&amp;"|1",Offres!$AS$6:$AS$205,0)),"")</f>
        <v/>
      </c>
      <c r="J15" s="27" t="str">
        <f aca="false">IFERROR(INDEX(Offres!$AL$6:$AL$205,MATCH($A15&amp;"|1",Offres!$AS$6:$AS$205,0)),"")</f>
        <v/>
      </c>
      <c r="K15" s="18" t="str">
        <f aca="false">IF($C15=0,"AUCUNE OFFRE",IFERROR(INDEX(Offres!$AP$6:$AP$205,MATCH($A15&amp;"|1",Offres!$AS$6:$AS$205,0)),""))</f>
        <v>AUCUNE OFFRE</v>
      </c>
      <c r="L15" s="18" t="str">
        <f aca="false">IFERROR(INDEX(Offres!$AQ$6:$AQ$205,MATCH($A15&amp;"|1",Offres!$AS$6:$AS$205,0)),"")</f>
        <v/>
      </c>
    </row>
    <row r="16" customFormat="false" ht="15" hidden="false" customHeight="false" outlineLevel="0" collapsed="false">
      <c r="A16" s="8" t="s">
        <v>181</v>
      </c>
      <c r="B16" s="8" t="s">
        <v>182</v>
      </c>
      <c r="C16" s="18" t="n">
        <f aca="false">COUNTIFS(Offres!$A$6:$A$205,$A16,Offres!$Y$6:$Y$205,1)</f>
        <v>0</v>
      </c>
      <c r="D16" s="18" t="str">
        <f aca="false">IFERROR(INDEX(Offres!$C$6:$C$205,MATCH($A16&amp;"|1",Offres!$AS$6:$AS$205,0)),"")</f>
        <v/>
      </c>
      <c r="E16" s="27" t="str">
        <f aca="false">IFERROR(INDEX(Offres!$AK$6:$AK$205,MATCH($A16&amp;"|1",Offres!$AS$6:$AS$205,0)),"")</f>
        <v/>
      </c>
      <c r="F16" s="18" t="str">
        <f aca="false">IFERROR(INDEX(Offres!$C$6:$C$205,MATCH($A16&amp;"|2",Offres!$AS$6:$AS$205,0)),"")</f>
        <v/>
      </c>
      <c r="G16" s="27" t="str">
        <f aca="false">IFERROR(INDEX(Offres!$AK$6:$AK$205,MATCH($A16&amp;"|2",Offres!$AS$6:$AS$205,0)),"")</f>
        <v/>
      </c>
      <c r="H16" s="26" t="str">
        <f aca="false">IF(AND(ISNUMBER($E16),ISNUMBER($G16)),$G16/$E16-1,"")</f>
        <v/>
      </c>
      <c r="I16" s="27" t="str">
        <f aca="false">IFERROR(INDEX(Offres!$R$6:$R$205,MATCH($A16&amp;"|1",Offres!$AS$6:$AS$205,0)),"")</f>
        <v/>
      </c>
      <c r="J16" s="27" t="str">
        <f aca="false">IFERROR(INDEX(Offres!$AL$6:$AL$205,MATCH($A16&amp;"|1",Offres!$AS$6:$AS$205,0)),"")</f>
        <v/>
      </c>
      <c r="K16" s="18" t="str">
        <f aca="false">IF($C16=0,"AUCUNE OFFRE",IFERROR(INDEX(Offres!$AP$6:$AP$205,MATCH($A16&amp;"|1",Offres!$AS$6:$AS$205,0)),""))</f>
        <v>AUCUNE OFFRE</v>
      </c>
      <c r="L16" s="18" t="str">
        <f aca="false">IFERROR(INDEX(Offres!$AQ$6:$AQ$205,MATCH($A16&amp;"|1",Offres!$AS$6:$AS$205,0)),"")</f>
        <v/>
      </c>
    </row>
    <row r="17" customFormat="false" ht="15" hidden="false" customHeight="false" outlineLevel="0" collapsed="false">
      <c r="A17" s="8" t="s">
        <v>184</v>
      </c>
      <c r="B17" s="8" t="s">
        <v>185</v>
      </c>
      <c r="C17" s="18" t="n">
        <f aca="false">COUNTIFS(Offres!$A$6:$A$205,$A17,Offres!$Y$6:$Y$205,1)</f>
        <v>0</v>
      </c>
      <c r="D17" s="18" t="str">
        <f aca="false">IFERROR(INDEX(Offres!$C$6:$C$205,MATCH($A17&amp;"|1",Offres!$AS$6:$AS$205,0)),"")</f>
        <v/>
      </c>
      <c r="E17" s="27" t="str">
        <f aca="false">IFERROR(INDEX(Offres!$AK$6:$AK$205,MATCH($A17&amp;"|1",Offres!$AS$6:$AS$205,0)),"")</f>
        <v/>
      </c>
      <c r="F17" s="18" t="str">
        <f aca="false">IFERROR(INDEX(Offres!$C$6:$C$205,MATCH($A17&amp;"|2",Offres!$AS$6:$AS$205,0)),"")</f>
        <v/>
      </c>
      <c r="G17" s="27" t="str">
        <f aca="false">IFERROR(INDEX(Offres!$AK$6:$AK$205,MATCH($A17&amp;"|2",Offres!$AS$6:$AS$205,0)),"")</f>
        <v/>
      </c>
      <c r="H17" s="26" t="str">
        <f aca="false">IF(AND(ISNUMBER($E17),ISNUMBER($G17)),$G17/$E17-1,"")</f>
        <v/>
      </c>
      <c r="I17" s="27" t="str">
        <f aca="false">IFERROR(INDEX(Offres!$R$6:$R$205,MATCH($A17&amp;"|1",Offres!$AS$6:$AS$205,0)),"")</f>
        <v/>
      </c>
      <c r="J17" s="27" t="str">
        <f aca="false">IFERROR(INDEX(Offres!$AL$6:$AL$205,MATCH($A17&amp;"|1",Offres!$AS$6:$AS$205,0)),"")</f>
        <v/>
      </c>
      <c r="K17" s="18" t="str">
        <f aca="false">IF($C17=0,"AUCUNE OFFRE",IFERROR(INDEX(Offres!$AP$6:$AP$205,MATCH($A17&amp;"|1",Offres!$AS$6:$AS$205,0)),""))</f>
        <v>AUCUNE OFFRE</v>
      </c>
      <c r="L17" s="18" t="str">
        <f aca="false">IFERROR(INDEX(Offres!$AQ$6:$AQ$205,MATCH($A17&amp;"|1",Offres!$AS$6:$AS$205,0)),"")</f>
        <v/>
      </c>
    </row>
    <row r="18" customFormat="false" ht="15" hidden="false" customHeight="false" outlineLevel="0" collapsed="false">
      <c r="A18" s="8" t="s">
        <v>186</v>
      </c>
      <c r="B18" s="8" t="s">
        <v>187</v>
      </c>
      <c r="C18" s="18" t="n">
        <f aca="false">COUNTIFS(Offres!$A$6:$A$205,$A18,Offres!$Y$6:$Y$205,1)</f>
        <v>0</v>
      </c>
      <c r="D18" s="18" t="str">
        <f aca="false">IFERROR(INDEX(Offres!$C$6:$C$205,MATCH($A18&amp;"|1",Offres!$AS$6:$AS$205,0)),"")</f>
        <v/>
      </c>
      <c r="E18" s="27" t="str">
        <f aca="false">IFERROR(INDEX(Offres!$AK$6:$AK$205,MATCH($A18&amp;"|1",Offres!$AS$6:$AS$205,0)),"")</f>
        <v/>
      </c>
      <c r="F18" s="18" t="str">
        <f aca="false">IFERROR(INDEX(Offres!$C$6:$C$205,MATCH($A18&amp;"|2",Offres!$AS$6:$AS$205,0)),"")</f>
        <v/>
      </c>
      <c r="G18" s="27" t="str">
        <f aca="false">IFERROR(INDEX(Offres!$AK$6:$AK$205,MATCH($A18&amp;"|2",Offres!$AS$6:$AS$205,0)),"")</f>
        <v/>
      </c>
      <c r="H18" s="26" t="str">
        <f aca="false">IF(AND(ISNUMBER($E18),ISNUMBER($G18)),$G18/$E18-1,"")</f>
        <v/>
      </c>
      <c r="I18" s="27" t="str">
        <f aca="false">IFERROR(INDEX(Offres!$R$6:$R$205,MATCH($A18&amp;"|1",Offres!$AS$6:$AS$205,0)),"")</f>
        <v/>
      </c>
      <c r="J18" s="27" t="str">
        <f aca="false">IFERROR(INDEX(Offres!$AL$6:$AL$205,MATCH($A18&amp;"|1",Offres!$AS$6:$AS$205,0)),"")</f>
        <v/>
      </c>
      <c r="K18" s="18" t="str">
        <f aca="false">IF($C18=0,"AUCUNE OFFRE",IFERROR(INDEX(Offres!$AP$6:$AP$205,MATCH($A18&amp;"|1",Offres!$AS$6:$AS$205,0)),""))</f>
        <v>AUCUNE OFFRE</v>
      </c>
      <c r="L18" s="18" t="str">
        <f aca="false">IFERROR(INDEX(Offres!$AQ$6:$AQ$205,MATCH($A18&amp;"|1",Offres!$AS$6:$AS$205,0)),"")</f>
        <v/>
      </c>
    </row>
    <row r="19" customFormat="false" ht="15" hidden="false" customHeight="false" outlineLevel="0" collapsed="false">
      <c r="A19" s="8" t="s">
        <v>188</v>
      </c>
      <c r="B19" s="8" t="s">
        <v>189</v>
      </c>
      <c r="C19" s="18" t="n">
        <f aca="false">COUNTIFS(Offres!$A$6:$A$205,$A19,Offres!$Y$6:$Y$205,1)</f>
        <v>0</v>
      </c>
      <c r="D19" s="18" t="str">
        <f aca="false">IFERROR(INDEX(Offres!$C$6:$C$205,MATCH($A19&amp;"|1",Offres!$AS$6:$AS$205,0)),"")</f>
        <v/>
      </c>
      <c r="E19" s="27" t="str">
        <f aca="false">IFERROR(INDEX(Offres!$AK$6:$AK$205,MATCH($A19&amp;"|1",Offres!$AS$6:$AS$205,0)),"")</f>
        <v/>
      </c>
      <c r="F19" s="18" t="str">
        <f aca="false">IFERROR(INDEX(Offres!$C$6:$C$205,MATCH($A19&amp;"|2",Offres!$AS$6:$AS$205,0)),"")</f>
        <v/>
      </c>
      <c r="G19" s="27" t="str">
        <f aca="false">IFERROR(INDEX(Offres!$AK$6:$AK$205,MATCH($A19&amp;"|2",Offres!$AS$6:$AS$205,0)),"")</f>
        <v/>
      </c>
      <c r="H19" s="26" t="str">
        <f aca="false">IF(AND(ISNUMBER($E19),ISNUMBER($G19)),$G19/$E19-1,"")</f>
        <v/>
      </c>
      <c r="I19" s="27" t="str">
        <f aca="false">IFERROR(INDEX(Offres!$R$6:$R$205,MATCH($A19&amp;"|1",Offres!$AS$6:$AS$205,0)),"")</f>
        <v/>
      </c>
      <c r="J19" s="27" t="str">
        <f aca="false">IFERROR(INDEX(Offres!$AL$6:$AL$205,MATCH($A19&amp;"|1",Offres!$AS$6:$AS$205,0)),"")</f>
        <v/>
      </c>
      <c r="K19" s="18" t="str">
        <f aca="false">IF($C19=0,"AUCUNE OFFRE",IFERROR(INDEX(Offres!$AP$6:$AP$205,MATCH($A19&amp;"|1",Offres!$AS$6:$AS$205,0)),""))</f>
        <v>AUCUNE OFFRE</v>
      </c>
      <c r="L19" s="18" t="str">
        <f aca="false">IFERROR(INDEX(Offres!$AQ$6:$AQ$205,MATCH($A19&amp;"|1",Offres!$AS$6:$AS$205,0)),"")</f>
        <v/>
      </c>
    </row>
    <row r="20" customFormat="false" ht="15" hidden="false" customHeight="false" outlineLevel="0" collapsed="false">
      <c r="A20" s="8" t="s">
        <v>190</v>
      </c>
      <c r="B20" s="8" t="s">
        <v>191</v>
      </c>
      <c r="C20" s="18" t="n">
        <f aca="false">COUNTIFS(Offres!$A$6:$A$205,$A20,Offres!$Y$6:$Y$205,1)</f>
        <v>0</v>
      </c>
      <c r="D20" s="18" t="str">
        <f aca="false">IFERROR(INDEX(Offres!$C$6:$C$205,MATCH($A20&amp;"|1",Offres!$AS$6:$AS$205,0)),"")</f>
        <v/>
      </c>
      <c r="E20" s="27" t="str">
        <f aca="false">IFERROR(INDEX(Offres!$AK$6:$AK$205,MATCH($A20&amp;"|1",Offres!$AS$6:$AS$205,0)),"")</f>
        <v/>
      </c>
      <c r="F20" s="18" t="str">
        <f aca="false">IFERROR(INDEX(Offres!$C$6:$C$205,MATCH($A20&amp;"|2",Offres!$AS$6:$AS$205,0)),"")</f>
        <v/>
      </c>
      <c r="G20" s="27" t="str">
        <f aca="false">IFERROR(INDEX(Offres!$AK$6:$AK$205,MATCH($A20&amp;"|2",Offres!$AS$6:$AS$205,0)),"")</f>
        <v/>
      </c>
      <c r="H20" s="26" t="str">
        <f aca="false">IF(AND(ISNUMBER($E20),ISNUMBER($G20)),$G20/$E20-1,"")</f>
        <v/>
      </c>
      <c r="I20" s="27" t="str">
        <f aca="false">IFERROR(INDEX(Offres!$R$6:$R$205,MATCH($A20&amp;"|1",Offres!$AS$6:$AS$205,0)),"")</f>
        <v/>
      </c>
      <c r="J20" s="27" t="str">
        <f aca="false">IFERROR(INDEX(Offres!$AL$6:$AL$205,MATCH($A20&amp;"|1",Offres!$AS$6:$AS$205,0)),"")</f>
        <v/>
      </c>
      <c r="K20" s="18" t="str">
        <f aca="false">IF($C20=0,"AUCUNE OFFRE",IFERROR(INDEX(Offres!$AP$6:$AP$205,MATCH($A20&amp;"|1",Offres!$AS$6:$AS$205,0)),""))</f>
        <v>AUCUNE OFFRE</v>
      </c>
      <c r="L20" s="18" t="str">
        <f aca="false">IFERROR(INDEX(Offres!$AQ$6:$AQ$205,MATCH($A20&amp;"|1",Offres!$AS$6:$AS$205,0)),"")</f>
        <v/>
      </c>
    </row>
    <row r="21" customFormat="false" ht="15" hidden="false" customHeight="false" outlineLevel="0" collapsed="false">
      <c r="A21" s="8" t="s">
        <v>192</v>
      </c>
      <c r="B21" s="8" t="s">
        <v>193</v>
      </c>
      <c r="C21" s="18" t="n">
        <f aca="false">COUNTIFS(Offres!$A$6:$A$205,$A21,Offres!$Y$6:$Y$205,1)</f>
        <v>0</v>
      </c>
      <c r="D21" s="18" t="str">
        <f aca="false">IFERROR(INDEX(Offres!$C$6:$C$205,MATCH($A21&amp;"|1",Offres!$AS$6:$AS$205,0)),"")</f>
        <v/>
      </c>
      <c r="E21" s="27" t="str">
        <f aca="false">IFERROR(INDEX(Offres!$AK$6:$AK$205,MATCH($A21&amp;"|1",Offres!$AS$6:$AS$205,0)),"")</f>
        <v/>
      </c>
      <c r="F21" s="18" t="str">
        <f aca="false">IFERROR(INDEX(Offres!$C$6:$C$205,MATCH($A21&amp;"|2",Offres!$AS$6:$AS$205,0)),"")</f>
        <v/>
      </c>
      <c r="G21" s="27" t="str">
        <f aca="false">IFERROR(INDEX(Offres!$AK$6:$AK$205,MATCH($A21&amp;"|2",Offres!$AS$6:$AS$205,0)),"")</f>
        <v/>
      </c>
      <c r="H21" s="26" t="str">
        <f aca="false">IF(AND(ISNUMBER($E21),ISNUMBER($G21)),$G21/$E21-1,"")</f>
        <v/>
      </c>
      <c r="I21" s="27" t="str">
        <f aca="false">IFERROR(INDEX(Offres!$R$6:$R$205,MATCH($A21&amp;"|1",Offres!$AS$6:$AS$205,0)),"")</f>
        <v/>
      </c>
      <c r="J21" s="27" t="str">
        <f aca="false">IFERROR(INDEX(Offres!$AL$6:$AL$205,MATCH($A21&amp;"|1",Offres!$AS$6:$AS$205,0)),"")</f>
        <v/>
      </c>
      <c r="K21" s="18" t="str">
        <f aca="false">IF($C21=0,"AUCUNE OFFRE",IFERROR(INDEX(Offres!$AP$6:$AP$205,MATCH($A21&amp;"|1",Offres!$AS$6:$AS$205,0)),""))</f>
        <v>AUCUNE OFFRE</v>
      </c>
      <c r="L21" s="18" t="str">
        <f aca="false">IFERROR(INDEX(Offres!$AQ$6:$AQ$205,MATCH($A21&amp;"|1",Offres!$AS$6:$AS$205,0)),"")</f>
        <v/>
      </c>
    </row>
    <row r="22" customFormat="false" ht="15" hidden="false" customHeight="false" outlineLevel="0" collapsed="false">
      <c r="A22" s="8" t="s">
        <v>195</v>
      </c>
      <c r="B22" s="8" t="s">
        <v>196</v>
      </c>
      <c r="C22" s="18" t="n">
        <f aca="false">COUNTIFS(Offres!$A$6:$A$205,$A22,Offres!$Y$6:$Y$205,1)</f>
        <v>0</v>
      </c>
      <c r="D22" s="18" t="str">
        <f aca="false">IFERROR(INDEX(Offres!$C$6:$C$205,MATCH($A22&amp;"|1",Offres!$AS$6:$AS$205,0)),"")</f>
        <v/>
      </c>
      <c r="E22" s="27" t="str">
        <f aca="false">IFERROR(INDEX(Offres!$AK$6:$AK$205,MATCH($A22&amp;"|1",Offres!$AS$6:$AS$205,0)),"")</f>
        <v/>
      </c>
      <c r="F22" s="18" t="str">
        <f aca="false">IFERROR(INDEX(Offres!$C$6:$C$205,MATCH($A22&amp;"|2",Offres!$AS$6:$AS$205,0)),"")</f>
        <v/>
      </c>
      <c r="G22" s="27" t="str">
        <f aca="false">IFERROR(INDEX(Offres!$AK$6:$AK$205,MATCH($A22&amp;"|2",Offres!$AS$6:$AS$205,0)),"")</f>
        <v/>
      </c>
      <c r="H22" s="26" t="str">
        <f aca="false">IF(AND(ISNUMBER($E22),ISNUMBER($G22)),$G22/$E22-1,"")</f>
        <v/>
      </c>
      <c r="I22" s="27" t="str">
        <f aca="false">IFERROR(INDEX(Offres!$R$6:$R$205,MATCH($A22&amp;"|1",Offres!$AS$6:$AS$205,0)),"")</f>
        <v/>
      </c>
      <c r="J22" s="27" t="str">
        <f aca="false">IFERROR(INDEX(Offres!$AL$6:$AL$205,MATCH($A22&amp;"|1",Offres!$AS$6:$AS$205,0)),"")</f>
        <v/>
      </c>
      <c r="K22" s="18" t="str">
        <f aca="false">IF($C22=0,"AUCUNE OFFRE",IFERROR(INDEX(Offres!$AP$6:$AP$205,MATCH($A22&amp;"|1",Offres!$AS$6:$AS$205,0)),""))</f>
        <v>AUCUNE OFFRE</v>
      </c>
      <c r="L22" s="18" t="str">
        <f aca="false">IFERROR(INDEX(Offres!$AQ$6:$AQ$205,MATCH($A22&amp;"|1",Offres!$AS$6:$AS$205,0)),"")</f>
        <v/>
      </c>
    </row>
    <row r="23" customFormat="false" ht="15" hidden="false" customHeight="false" outlineLevel="0" collapsed="false">
      <c r="A23" s="8" t="s">
        <v>198</v>
      </c>
      <c r="B23" s="8" t="s">
        <v>199</v>
      </c>
      <c r="C23" s="18" t="n">
        <f aca="false">COUNTIFS(Offres!$A$6:$A$205,$A23,Offres!$Y$6:$Y$205,1)</f>
        <v>0</v>
      </c>
      <c r="D23" s="18" t="str">
        <f aca="false">IFERROR(INDEX(Offres!$C$6:$C$205,MATCH($A23&amp;"|1",Offres!$AS$6:$AS$205,0)),"")</f>
        <v/>
      </c>
      <c r="E23" s="27" t="str">
        <f aca="false">IFERROR(INDEX(Offres!$AK$6:$AK$205,MATCH($A23&amp;"|1",Offres!$AS$6:$AS$205,0)),"")</f>
        <v/>
      </c>
      <c r="F23" s="18" t="str">
        <f aca="false">IFERROR(INDEX(Offres!$C$6:$C$205,MATCH($A23&amp;"|2",Offres!$AS$6:$AS$205,0)),"")</f>
        <v/>
      </c>
      <c r="G23" s="27" t="str">
        <f aca="false">IFERROR(INDEX(Offres!$AK$6:$AK$205,MATCH($A23&amp;"|2",Offres!$AS$6:$AS$205,0)),"")</f>
        <v/>
      </c>
      <c r="H23" s="26" t="str">
        <f aca="false">IF(AND(ISNUMBER($E23),ISNUMBER($G23)),$G23/$E23-1,"")</f>
        <v/>
      </c>
      <c r="I23" s="27" t="str">
        <f aca="false">IFERROR(INDEX(Offres!$R$6:$R$205,MATCH($A23&amp;"|1",Offres!$AS$6:$AS$205,0)),"")</f>
        <v/>
      </c>
      <c r="J23" s="27" t="str">
        <f aca="false">IFERROR(INDEX(Offres!$AL$6:$AL$205,MATCH($A23&amp;"|1",Offres!$AS$6:$AS$205,0)),"")</f>
        <v/>
      </c>
      <c r="K23" s="18" t="str">
        <f aca="false">IF($C23=0,"AUCUNE OFFRE",IFERROR(INDEX(Offres!$AP$6:$AP$205,MATCH($A23&amp;"|1",Offres!$AS$6:$AS$205,0)),""))</f>
        <v>AUCUNE OFFRE</v>
      </c>
      <c r="L23" s="18" t="str">
        <f aca="false">IFERROR(INDEX(Offres!$AQ$6:$AQ$205,MATCH($A23&amp;"|1",Offres!$AS$6:$AS$205,0)),"")</f>
        <v/>
      </c>
    </row>
    <row r="24" customFormat="false" ht="15" hidden="false" customHeight="false" outlineLevel="0" collapsed="false">
      <c r="A24" s="8" t="s">
        <v>200</v>
      </c>
      <c r="B24" s="8" t="s">
        <v>201</v>
      </c>
      <c r="C24" s="18" t="n">
        <f aca="false">COUNTIFS(Offres!$A$6:$A$205,$A24,Offres!$Y$6:$Y$205,1)</f>
        <v>0</v>
      </c>
      <c r="D24" s="18" t="str">
        <f aca="false">IFERROR(INDEX(Offres!$C$6:$C$205,MATCH($A24&amp;"|1",Offres!$AS$6:$AS$205,0)),"")</f>
        <v/>
      </c>
      <c r="E24" s="27" t="str">
        <f aca="false">IFERROR(INDEX(Offres!$AK$6:$AK$205,MATCH($A24&amp;"|1",Offres!$AS$6:$AS$205,0)),"")</f>
        <v/>
      </c>
      <c r="F24" s="18" t="str">
        <f aca="false">IFERROR(INDEX(Offres!$C$6:$C$205,MATCH($A24&amp;"|2",Offres!$AS$6:$AS$205,0)),"")</f>
        <v/>
      </c>
      <c r="G24" s="27" t="str">
        <f aca="false">IFERROR(INDEX(Offres!$AK$6:$AK$205,MATCH($A24&amp;"|2",Offres!$AS$6:$AS$205,0)),"")</f>
        <v/>
      </c>
      <c r="H24" s="26" t="str">
        <f aca="false">IF(AND(ISNUMBER($E24),ISNUMBER($G24)),$G24/$E24-1,"")</f>
        <v/>
      </c>
      <c r="I24" s="27" t="str">
        <f aca="false">IFERROR(INDEX(Offres!$R$6:$R$205,MATCH($A24&amp;"|1",Offres!$AS$6:$AS$205,0)),"")</f>
        <v/>
      </c>
      <c r="J24" s="27" t="str">
        <f aca="false">IFERROR(INDEX(Offres!$AL$6:$AL$205,MATCH($A24&amp;"|1",Offres!$AS$6:$AS$205,0)),"")</f>
        <v/>
      </c>
      <c r="K24" s="18" t="str">
        <f aca="false">IF($C24=0,"AUCUNE OFFRE",IFERROR(INDEX(Offres!$AP$6:$AP$205,MATCH($A24&amp;"|1",Offres!$AS$6:$AS$205,0)),""))</f>
        <v>AUCUNE OFFRE</v>
      </c>
      <c r="L24" s="18" t="str">
        <f aca="false">IFERROR(INDEX(Offres!$AQ$6:$AQ$205,MATCH($A24&amp;"|1",Offres!$AS$6:$AS$205,0)),"")</f>
        <v/>
      </c>
    </row>
    <row r="25" customFormat="false" ht="15" hidden="false" customHeight="false" outlineLevel="0" collapsed="false">
      <c r="A25" s="8" t="s">
        <v>202</v>
      </c>
      <c r="B25" s="8" t="s">
        <v>203</v>
      </c>
      <c r="C25" s="18" t="n">
        <f aca="false">COUNTIFS(Offres!$A$6:$A$205,$A25,Offres!$Y$6:$Y$205,1)</f>
        <v>0</v>
      </c>
      <c r="D25" s="18" t="str">
        <f aca="false">IFERROR(INDEX(Offres!$C$6:$C$205,MATCH($A25&amp;"|1",Offres!$AS$6:$AS$205,0)),"")</f>
        <v/>
      </c>
      <c r="E25" s="27" t="str">
        <f aca="false">IFERROR(INDEX(Offres!$AK$6:$AK$205,MATCH($A25&amp;"|1",Offres!$AS$6:$AS$205,0)),"")</f>
        <v/>
      </c>
      <c r="F25" s="18" t="str">
        <f aca="false">IFERROR(INDEX(Offres!$C$6:$C$205,MATCH($A25&amp;"|2",Offres!$AS$6:$AS$205,0)),"")</f>
        <v/>
      </c>
      <c r="G25" s="27" t="str">
        <f aca="false">IFERROR(INDEX(Offres!$AK$6:$AK$205,MATCH($A25&amp;"|2",Offres!$AS$6:$AS$205,0)),"")</f>
        <v/>
      </c>
      <c r="H25" s="26" t="str">
        <f aca="false">IF(AND(ISNUMBER($E25),ISNUMBER($G25)),$G25/$E25-1,"")</f>
        <v/>
      </c>
      <c r="I25" s="27" t="str">
        <f aca="false">IFERROR(INDEX(Offres!$R$6:$R$205,MATCH($A25&amp;"|1",Offres!$AS$6:$AS$205,0)),"")</f>
        <v/>
      </c>
      <c r="J25" s="27" t="str">
        <f aca="false">IFERROR(INDEX(Offres!$AL$6:$AL$205,MATCH($A25&amp;"|1",Offres!$AS$6:$AS$205,0)),"")</f>
        <v/>
      </c>
      <c r="K25" s="18" t="str">
        <f aca="false">IF($C25=0,"AUCUNE OFFRE",IFERROR(INDEX(Offres!$AP$6:$AP$205,MATCH($A25&amp;"|1",Offres!$AS$6:$AS$205,0)),""))</f>
        <v>AUCUNE OFFRE</v>
      </c>
      <c r="L25" s="18" t="str">
        <f aca="false">IFERROR(INDEX(Offres!$AQ$6:$AQ$205,MATCH($A25&amp;"|1",Offres!$AS$6:$AS$205,0)),"")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4" min="2" style="0" width="11"/>
    <col collapsed="false" customWidth="true" hidden="false" outlineLevel="0" max="8" min="5" style="0" width="14"/>
    <col collapsed="false" customWidth="true" hidden="false" outlineLevel="0" max="9" min="9" style="0" width="16"/>
    <col collapsed="false" customWidth="true" hidden="false" outlineLevel="0" max="10" min="10" style="0" width="12"/>
    <col collapsed="false" customWidth="true" hidden="false" outlineLevel="0" max="11" min="11" style="0" width="18"/>
  </cols>
  <sheetData>
    <row r="1" customFormat="false" ht="17.35" hidden="false" customHeight="false" outlineLevel="0" collapsed="false">
      <c r="A1" s="5" t="s">
        <v>217</v>
      </c>
    </row>
    <row r="2" customFormat="false" ht="15" hidden="false" customHeight="false" outlineLevel="0" collapsed="false">
      <c r="A2" s="6" t="s">
        <v>218</v>
      </c>
    </row>
    <row r="4" customFormat="false" ht="48" hidden="false" customHeight="true" outlineLevel="0" collapsed="false">
      <c r="A4" s="7" t="s">
        <v>56</v>
      </c>
      <c r="B4" s="7" t="s">
        <v>219</v>
      </c>
      <c r="C4" s="7" t="s">
        <v>220</v>
      </c>
      <c r="D4" s="7" t="s">
        <v>221</v>
      </c>
      <c r="E4" s="7" t="s">
        <v>222</v>
      </c>
      <c r="F4" s="7" t="s">
        <v>223</v>
      </c>
      <c r="G4" s="7" t="s">
        <v>224</v>
      </c>
      <c r="H4" s="7" t="s">
        <v>225</v>
      </c>
      <c r="I4" s="7" t="s">
        <v>71</v>
      </c>
      <c r="J4" s="7" t="s">
        <v>226</v>
      </c>
      <c r="K4" s="7" t="s">
        <v>73</v>
      </c>
    </row>
    <row r="5" customFormat="false" ht="15" hidden="false" customHeight="false" outlineLevel="0" collapsed="false">
      <c r="A5" s="18" t="str">
        <f aca="false">IF(Fournisseurs!$A$5="","",Fournisseurs!$A$5)</f>
        <v>Asmodee France</v>
      </c>
      <c r="B5" s="18" t="n">
        <f aca="false">IF($A5="","",COUNTIFS(Offres!$C$6:$C$205,$A5,Offres!$Y$6:$Y$205,1))</f>
        <v>0</v>
      </c>
      <c r="C5" s="18" t="n">
        <f aca="false">IF($A5="","",COUNTIFS(Offres!$C$6:$C$205,$A5,Offres!$Y$6:$Y$205,0))</f>
        <v>20</v>
      </c>
      <c r="D5" s="18" t="n">
        <f aca="false">IF($A5="","",COUNTIFS(Offres!$C$6:$C$205,$A5,Offres!$AR$6:$AR$205,1))</f>
        <v>0</v>
      </c>
      <c r="E5" s="27" t="n">
        <f aca="false">IF($A5="","",SUMIFS(Offres!$AC$6:$AC$205,Offres!$C$6:$C$205,$A5))</f>
        <v>0</v>
      </c>
      <c r="F5" s="27" t="n">
        <f aca="false">IF($A5="","",SUMIFS(Offres!$AT$6:$AT$205,Offres!$C$6:$C$205,$A5))</f>
        <v>0</v>
      </c>
      <c r="G5" s="27" t="str">
        <f aca="false">IF(OR($A5="",NOT(ISNUMBER(Fournisseurs!$D$5))),"",IF(Fournisseurs!$D$5&gt;0,$E5/Fournisseurs!$D$5,""))</f>
        <v/>
      </c>
      <c r="H5" s="18" t="str">
        <f aca="false">IF($A5="","",IF(OR($B5=0,NOT(ISNUMBER($G5)),NOT(ISNUMBER(Fournisseurs!$M$5))),"?",IF($G5&gt;=Fournisseurs!$M$5,"OUI","NON")))</f>
        <v>?</v>
      </c>
      <c r="I5" s="18" t="str">
        <f aca="false">IF($A5="","",IF(Fournisseurs!$P$5="","inconnu",Fournisseurs!$P$5))</f>
        <v>inconnu</v>
      </c>
      <c r="J5" s="18" t="str">
        <f aca="false">IF($A5="","",IF(Fournisseurs!$Q$5="","?",Fournisseurs!$Q$5))</f>
        <v>?</v>
      </c>
      <c r="K5" s="18" t="str">
        <f aca="false">IF($A5="","",IF(Fournisseurs!$R$5="","",Fournisseurs!$R$5))</f>
        <v>non contacté</v>
      </c>
    </row>
    <row r="6" customFormat="false" ht="15" hidden="false" customHeight="false" outlineLevel="0" collapsed="false">
      <c r="A6" s="18" t="str">
        <f aca="false">IF(Fournisseurs!$A$6="","",Fournisseurs!$A$6)</f>
        <v>Matoo et Miao</v>
      </c>
      <c r="B6" s="18" t="n">
        <f aca="false">IF($A6="","",COUNTIFS(Offres!$C$6:$C$205,$A6,Offres!$Y$6:$Y$205,1))</f>
        <v>0</v>
      </c>
      <c r="C6" s="18" t="n">
        <f aca="false">IF($A6="","",COUNTIFS(Offres!$C$6:$C$205,$A6,Offres!$Y$6:$Y$205,0))</f>
        <v>20</v>
      </c>
      <c r="D6" s="18" t="n">
        <f aca="false">IF($A6="","",COUNTIFS(Offres!$C$6:$C$205,$A6,Offres!$AR$6:$AR$205,1))</f>
        <v>0</v>
      </c>
      <c r="E6" s="27" t="n">
        <f aca="false">IF($A6="","",SUMIFS(Offres!$AC$6:$AC$205,Offres!$C$6:$C$205,$A6))</f>
        <v>0</v>
      </c>
      <c r="F6" s="27" t="n">
        <f aca="false">IF($A6="","",SUMIFS(Offres!$AT$6:$AT$205,Offres!$C$6:$C$205,$A6))</f>
        <v>0</v>
      </c>
      <c r="G6" s="27" t="str">
        <f aca="false">IF(OR($A6="",NOT(ISNUMBER(Fournisseurs!$D$6))),"",IF(Fournisseurs!$D$6&gt;0,$E6/Fournisseurs!$D$6,""))</f>
        <v/>
      </c>
      <c r="H6" s="18" t="str">
        <f aca="false">IF($A6="","",IF(OR($B6=0,NOT(ISNUMBER($G6)),NOT(ISNUMBER(Fournisseurs!$M$6))),"?",IF($G6&gt;=Fournisseurs!$M$6,"OUI","NON")))</f>
        <v>?</v>
      </c>
      <c r="I6" s="18" t="str">
        <f aca="false">IF($A6="","",IF(Fournisseurs!$P$6="","inconnu",Fournisseurs!$P$6))</f>
        <v>inconnu</v>
      </c>
      <c r="J6" s="18" t="str">
        <f aca="false">IF($A6="","",IF(Fournisseurs!$Q$6="","?",Fournisseurs!$Q$6))</f>
        <v>?</v>
      </c>
      <c r="K6" s="18" t="str">
        <f aca="false">IF($A6="","",IF(Fournisseurs!$R$6="","",Fournisseurs!$R$6))</f>
        <v>non contacté</v>
      </c>
    </row>
    <row r="7" customFormat="false" ht="15" hidden="false" customHeight="false" outlineLevel="0" collapsed="false">
      <c r="A7" s="18" t="str">
        <f aca="false">IF(Fournisseurs!$A$7="","",Fournisseurs!$A$7)</f>
        <v>TCG Distribution</v>
      </c>
      <c r="B7" s="18" t="n">
        <f aca="false">IF($A7="","",COUNTIFS(Offres!$C$6:$C$205,$A7,Offres!$Y$6:$Y$205,1))</f>
        <v>0</v>
      </c>
      <c r="C7" s="18" t="n">
        <f aca="false">IF($A7="","",COUNTIFS(Offres!$C$6:$C$205,$A7,Offres!$Y$6:$Y$205,0))</f>
        <v>20</v>
      </c>
      <c r="D7" s="18" t="n">
        <f aca="false">IF($A7="","",COUNTIFS(Offres!$C$6:$C$205,$A7,Offres!$AR$6:$AR$205,1))</f>
        <v>0</v>
      </c>
      <c r="E7" s="27" t="n">
        <f aca="false">IF($A7="","",SUMIFS(Offres!$AC$6:$AC$205,Offres!$C$6:$C$205,$A7))</f>
        <v>0</v>
      </c>
      <c r="F7" s="27" t="n">
        <f aca="false">IF($A7="","",SUMIFS(Offres!$AT$6:$AT$205,Offres!$C$6:$C$205,$A7))</f>
        <v>0</v>
      </c>
      <c r="G7" s="27" t="str">
        <f aca="false">IF(OR($A7="",NOT(ISNUMBER(Fournisseurs!$D$7))),"",IF(Fournisseurs!$D$7&gt;0,$E7/Fournisseurs!$D$7,""))</f>
        <v/>
      </c>
      <c r="H7" s="18" t="str">
        <f aca="false">IF($A7="","",IF(OR($B7=0,NOT(ISNUMBER($G7)),NOT(ISNUMBER(Fournisseurs!$M$7))),"?",IF($G7&gt;=Fournisseurs!$M$7,"OUI","NON")))</f>
        <v>?</v>
      </c>
      <c r="I7" s="18" t="str">
        <f aca="false">IF($A7="","",IF(Fournisseurs!$P$7="","inconnu",Fournisseurs!$P$7))</f>
        <v>inconnu</v>
      </c>
      <c r="J7" s="18" t="str">
        <f aca="false">IF($A7="","",IF(Fournisseurs!$Q$7="","?",Fournisseurs!$Q$7))</f>
        <v>?</v>
      </c>
      <c r="K7" s="18" t="str">
        <f aca="false">IF($A7="","",IF(Fournisseurs!$R$7="","",Fournisseurs!$R$7))</f>
        <v>non contacté</v>
      </c>
    </row>
    <row r="8" customFormat="false" ht="15" hidden="false" customHeight="false" outlineLevel="0" collapsed="false">
      <c r="A8" s="18" t="str">
        <f aca="false">IF(Fournisseurs!$A$8="","",Fournisseurs!$A$8)</f>
        <v>OtakuWorld</v>
      </c>
      <c r="B8" s="18" t="n">
        <f aca="false">IF($A8="","",COUNTIFS(Offres!$C$6:$C$205,$A8,Offres!$Y$6:$Y$205,1))</f>
        <v>0</v>
      </c>
      <c r="C8" s="18" t="n">
        <f aca="false">IF($A8="","",COUNTIFS(Offres!$C$6:$C$205,$A8,Offres!$Y$6:$Y$205,0))</f>
        <v>0</v>
      </c>
      <c r="D8" s="18" t="n">
        <f aca="false">IF($A8="","",COUNTIFS(Offres!$C$6:$C$205,$A8,Offres!$AR$6:$AR$205,1))</f>
        <v>0</v>
      </c>
      <c r="E8" s="27" t="n">
        <f aca="false">IF($A8="","",SUMIFS(Offres!$AC$6:$AC$205,Offres!$C$6:$C$205,$A8))</f>
        <v>0</v>
      </c>
      <c r="F8" s="27" t="n">
        <f aca="false">IF($A8="","",SUMIFS(Offres!$AT$6:$AT$205,Offres!$C$6:$C$205,$A8))</f>
        <v>0</v>
      </c>
      <c r="G8" s="27" t="str">
        <f aca="false">IF(OR($A8="",NOT(ISNUMBER(Fournisseurs!$D$8))),"",IF(Fournisseurs!$D$8&gt;0,$E8/Fournisseurs!$D$8,""))</f>
        <v/>
      </c>
      <c r="H8" s="18" t="str">
        <f aca="false">IF($A8="","",IF(OR($B8=0,NOT(ISNUMBER($G8)),NOT(ISNUMBER(Fournisseurs!$M$8))),"?",IF($G8&gt;=Fournisseurs!$M$8,"OUI","NON")))</f>
        <v>?</v>
      </c>
      <c r="I8" s="18" t="str">
        <f aca="false">IF($A8="","",IF(Fournisseurs!$P$8="","inconnu",Fournisseurs!$P$8))</f>
        <v>inconnu</v>
      </c>
      <c r="J8" s="18" t="str">
        <f aca="false">IF($A8="","",IF(Fournisseurs!$Q$8="","?",Fournisseurs!$Q$8))</f>
        <v>?</v>
      </c>
      <c r="K8" s="18" t="str">
        <f aca="false">IF($A8="","",IF(Fournisseurs!$R$8="","",Fournisseurs!$R$8))</f>
        <v>non contacté</v>
      </c>
    </row>
    <row r="9" customFormat="false" ht="15" hidden="false" customHeight="false" outlineLevel="0" collapsed="false">
      <c r="A9" s="18" t="str">
        <f aca="false">IF(Fournisseurs!$A$9="","",Fournisseurs!$A$9)</f>
        <v>CardCosmos</v>
      </c>
      <c r="B9" s="18" t="n">
        <f aca="false">IF($A9="","",COUNTIFS(Offres!$C$6:$C$205,$A9,Offres!$Y$6:$Y$205,1))</f>
        <v>0</v>
      </c>
      <c r="C9" s="18" t="n">
        <f aca="false">IF($A9="","",COUNTIFS(Offres!$C$6:$C$205,$A9,Offres!$Y$6:$Y$205,0))</f>
        <v>0</v>
      </c>
      <c r="D9" s="18" t="n">
        <f aca="false">IF($A9="","",COUNTIFS(Offres!$C$6:$C$205,$A9,Offres!$AR$6:$AR$205,1))</f>
        <v>0</v>
      </c>
      <c r="E9" s="27" t="n">
        <f aca="false">IF($A9="","",SUMIFS(Offres!$AC$6:$AC$205,Offres!$C$6:$C$205,$A9))</f>
        <v>0</v>
      </c>
      <c r="F9" s="27" t="n">
        <f aca="false">IF($A9="","",SUMIFS(Offres!$AT$6:$AT$205,Offres!$C$6:$C$205,$A9))</f>
        <v>0</v>
      </c>
      <c r="G9" s="27" t="str">
        <f aca="false">IF(OR($A9="",NOT(ISNUMBER(Fournisseurs!$D$9))),"",IF(Fournisseurs!$D$9&gt;0,$E9/Fournisseurs!$D$9,""))</f>
        <v/>
      </c>
      <c r="H9" s="18" t="str">
        <f aca="false">IF($A9="","",IF(OR($B9=0,NOT(ISNUMBER($G9)),NOT(ISNUMBER(Fournisseurs!$M$9))),"?",IF($G9&gt;=Fournisseurs!$M$9,"OUI","NON")))</f>
        <v>?</v>
      </c>
      <c r="I9" s="18" t="str">
        <f aca="false">IF($A9="","",IF(Fournisseurs!$P$9="","inconnu",Fournisseurs!$P$9))</f>
        <v>inconnu</v>
      </c>
      <c r="J9" s="18" t="str">
        <f aca="false">IF($A9="","",IF(Fournisseurs!$Q$9="","?",Fournisseurs!$Q$9))</f>
        <v>?</v>
      </c>
      <c r="K9" s="18" t="str">
        <f aca="false">IF($A9="","",IF(Fournisseurs!$R$9="","",Fournisseurs!$R$9))</f>
        <v>non contacté</v>
      </c>
    </row>
    <row r="10" customFormat="false" ht="15" hidden="false" customHeight="false" outlineLevel="0" collapsed="false">
      <c r="A10" s="18" t="str">
        <f aca="false">IF(Fournisseurs!$A$10="","",Fournisseurs!$A$10)</f>
        <v>Carletto AG (hors BP)</v>
      </c>
      <c r="B10" s="18" t="n">
        <f aca="false">IF($A10="","",COUNTIFS(Offres!$C$6:$C$205,$A10,Offres!$Y$6:$Y$205,1))</f>
        <v>0</v>
      </c>
      <c r="C10" s="18" t="n">
        <f aca="false">IF($A10="","",COUNTIFS(Offres!$C$6:$C$205,$A10,Offres!$Y$6:$Y$205,0))</f>
        <v>0</v>
      </c>
      <c r="D10" s="18" t="n">
        <f aca="false">IF($A10="","",COUNTIFS(Offres!$C$6:$C$205,$A10,Offres!$AR$6:$AR$205,1))</f>
        <v>0</v>
      </c>
      <c r="E10" s="27" t="n">
        <f aca="false">IF($A10="","",SUMIFS(Offres!$AC$6:$AC$205,Offres!$C$6:$C$205,$A10))</f>
        <v>0</v>
      </c>
      <c r="F10" s="27" t="n">
        <f aca="false">IF($A10="","",SUMIFS(Offres!$AT$6:$AT$205,Offres!$C$6:$C$205,$A10))</f>
        <v>0</v>
      </c>
      <c r="G10" s="27" t="str">
        <f aca="false">IF(OR($A10="",NOT(ISNUMBER(Fournisseurs!$D$10))),"",IF(Fournisseurs!$D$10&gt;0,$E10/Fournisseurs!$D$10,""))</f>
        <v/>
      </c>
      <c r="H10" s="18" t="str">
        <f aca="false">IF($A10="","",IF(OR($B10=0,NOT(ISNUMBER($G10)),NOT(ISNUMBER(Fournisseurs!$M$10))),"?",IF($G10&gt;=Fournisseurs!$M$10,"OUI","NON")))</f>
        <v>?</v>
      </c>
      <c r="I10" s="18" t="str">
        <f aca="false">IF($A10="","",IF(Fournisseurs!$P$10="","inconnu",Fournisseurs!$P$10))</f>
        <v>inconnu</v>
      </c>
      <c r="J10" s="18" t="str">
        <f aca="false">IF($A10="","",IF(Fournisseurs!$Q$10="","?",Fournisseurs!$Q$10))</f>
        <v>?</v>
      </c>
      <c r="K10" s="18" t="str">
        <f aca="false">IF($A10="","",IF(Fournisseurs!$R$10="","",Fournisseurs!$R$10))</f>
        <v>non contacté</v>
      </c>
    </row>
    <row r="11" customFormat="false" ht="15" hidden="false" customHeight="false" outlineLevel="0" collapsed="false">
      <c r="A11" s="18" t="str">
        <f aca="false">IF(Fournisseurs!$A$11="","",Fournisseurs!$A$11)</f>
        <v>FICTIF_FOURNISSEUR_A</v>
      </c>
      <c r="B11" s="18" t="n">
        <f aca="false">IF($A11="","",COUNTIFS(Offres!$C$6:$C$205,$A11,Offres!$Y$6:$Y$205,1))</f>
        <v>1</v>
      </c>
      <c r="C11" s="18" t="n">
        <f aca="false">IF($A11="","",COUNTIFS(Offres!$C$6:$C$205,$A11,Offres!$Y$6:$Y$205,0))</f>
        <v>0</v>
      </c>
      <c r="D11" s="18" t="n">
        <f aca="false">IF($A11="","",COUNTIFS(Offres!$C$6:$C$205,$A11,Offres!$AR$6:$AR$205,1))</f>
        <v>1</v>
      </c>
      <c r="E11" s="27" t="n">
        <f aca="false">IF($A11="","",SUMIFS(Offres!$AC$6:$AC$205,Offres!$C$6:$C$205,$A11))</f>
        <v>357.2</v>
      </c>
      <c r="F11" s="27" t="n">
        <f aca="false">IF($A11="","",SUMIFS(Offres!$AT$6:$AT$205,Offres!$C$6:$C$205,$A11))</f>
        <v>419.8</v>
      </c>
      <c r="G11" s="27" t="n">
        <f aca="false">IF(OR($A11="",NOT(ISNUMBER(Fournisseurs!$D$11))),"",IF(Fournisseurs!$D$11&gt;0,$E11/Fournisseurs!$D$11,""))</f>
        <v>380</v>
      </c>
      <c r="H11" s="18" t="str">
        <f aca="false">IF($A11="","",IF(OR($B11=0,NOT(ISNUMBER($G11)),NOT(ISNUMBER(Fournisseurs!$M$11))),"?",IF($G11&gt;=Fournisseurs!$M$11,"OUI","NON")))</f>
        <v>NON</v>
      </c>
      <c r="I11" s="18" t="str">
        <f aca="false">IF($A11="","",IF(Fournisseurs!$P$11="","inconnu",Fournisseurs!$P$11))</f>
        <v>CSV</v>
      </c>
      <c r="J11" s="18" t="str">
        <f aca="false">IF($A11="","",IF(Fournisseurs!$Q$11="","?",Fournisseurs!$Q$11))</f>
        <v>N</v>
      </c>
      <c r="K11" s="18" t="str">
        <f aca="false">IF($A11="","",IF(Fournisseurs!$R$11="","",Fournisseurs!$R$11))</f>
        <v>FICTIF</v>
      </c>
    </row>
    <row r="12" customFormat="false" ht="15" hidden="false" customHeight="false" outlineLevel="0" collapsed="false">
      <c r="A12" s="18" t="str">
        <f aca="false">IF(Fournisseurs!$A$12="","",Fournisseurs!$A$12)</f>
        <v>FICTIF_FOURNISSEUR_B</v>
      </c>
      <c r="B12" s="18" t="n">
        <f aca="false">IF($A12="","",COUNTIFS(Offres!$C$6:$C$205,$A12,Offres!$Y$6:$Y$205,1))</f>
        <v>1</v>
      </c>
      <c r="C12" s="18" t="n">
        <f aca="false">IF($A12="","",COUNTIFS(Offres!$C$6:$C$205,$A12,Offres!$Y$6:$Y$205,0))</f>
        <v>0</v>
      </c>
      <c r="D12" s="18" t="n">
        <f aca="false">IF($A12="","",COUNTIFS(Offres!$C$6:$C$205,$A12,Offres!$AR$6:$AR$205,1))</f>
        <v>0</v>
      </c>
      <c r="E12" s="27" t="n">
        <f aca="false">IF($A12="","",SUMIFS(Offres!$AC$6:$AC$205,Offres!$C$6:$C$205,$A12))</f>
        <v>461.609620721554</v>
      </c>
      <c r="F12" s="27" t="n">
        <f aca="false">IF($A12="","",SUMIFS(Offres!$AT$6:$AT$205,Offres!$C$6:$C$205,$A12))</f>
        <v>476.609620721554</v>
      </c>
      <c r="G12" s="27" t="n">
        <f aca="false">IF(OR($A12="",NOT(ISNUMBER(Fournisseurs!$D$12))),"",IF(Fournisseurs!$D$12&gt;0,$E12/Fournisseurs!$D$12,""))</f>
        <v>461.609620721554</v>
      </c>
      <c r="H12" s="18" t="str">
        <f aca="false">IF($A12="","",IF(OR($B12=0,NOT(ISNUMBER($G12)),NOT(ISNUMBER(Fournisseurs!$M$12))),"?",IF($G12&gt;=Fournisseurs!$M$12,"OUI","NON")))</f>
        <v>OUI</v>
      </c>
      <c r="I12" s="18" t="str">
        <f aca="false">IF($A12="","",IF(Fournisseurs!$P$12="","inconnu",Fournisseurs!$P$12))</f>
        <v>XLSX</v>
      </c>
      <c r="J12" s="18" t="str">
        <f aca="false">IF($A12="","",IF(Fournisseurs!$Q$12="","?",Fournisseurs!$Q$12))</f>
        <v>N</v>
      </c>
      <c r="K12" s="18" t="str">
        <f aca="false">IF($A12="","",IF(Fournisseurs!$R$12="","",Fournisseurs!$R$12))</f>
        <v>FICTIF</v>
      </c>
    </row>
    <row r="13" customFormat="false" ht="15" hidden="false" customHeight="false" outlineLevel="0" collapsed="false">
      <c r="A13" s="18" t="str">
        <f aca="false">IF(Fournisseurs!$A$13="","",Fournisseurs!$A$13)</f>
        <v/>
      </c>
      <c r="B13" s="18" t="str">
        <f aca="false">IF($A13="","",COUNTIFS(Offres!$C$6:$C$205,$A13,Offres!$Y$6:$Y$205,1))</f>
        <v/>
      </c>
      <c r="C13" s="18" t="str">
        <f aca="false">IF($A13="","",COUNTIFS(Offres!$C$6:$C$205,$A13,Offres!$Y$6:$Y$205,0))</f>
        <v/>
      </c>
      <c r="D13" s="18" t="str">
        <f aca="false">IF($A13="","",COUNTIFS(Offres!$C$6:$C$205,$A13,Offres!$AR$6:$AR$205,1))</f>
        <v/>
      </c>
      <c r="E13" s="27" t="str">
        <f aca="false">IF($A13="","",SUMIFS(Offres!$AC$6:$AC$205,Offres!$C$6:$C$205,$A13))</f>
        <v/>
      </c>
      <c r="F13" s="27" t="str">
        <f aca="false">IF($A13="","",SUMIFS(Offres!$AT$6:$AT$205,Offres!$C$6:$C$205,$A13))</f>
        <v/>
      </c>
      <c r="G13" s="27" t="str">
        <f aca="false">IF(OR($A13="",NOT(ISNUMBER(Fournisseurs!$D$13))),"",IF(Fournisseurs!$D$13&gt;0,$E13/Fournisseurs!$D$13,""))</f>
        <v/>
      </c>
      <c r="H13" s="18" t="str">
        <f aca="false">IF($A13="","",IF(OR($B13=0,NOT(ISNUMBER($G13)),NOT(ISNUMBER(Fournisseurs!$M$13))),"?",IF($G13&gt;=Fournisseurs!$M$13,"OUI","NON")))</f>
        <v/>
      </c>
      <c r="I13" s="18" t="str">
        <f aca="false">IF($A13="","",IF(Fournisseurs!$P$13="","inconnu",Fournisseurs!$P$13))</f>
        <v/>
      </c>
      <c r="J13" s="18" t="str">
        <f aca="false">IF($A13="","",IF(Fournisseurs!$Q$13="","?",Fournisseurs!$Q$13))</f>
        <v/>
      </c>
      <c r="K13" s="18" t="str">
        <f aca="false">IF($A13="","",IF(Fournisseurs!$R$13="","",Fournisseurs!$R$13))</f>
        <v/>
      </c>
    </row>
    <row r="14" customFormat="false" ht="15" hidden="false" customHeight="false" outlineLevel="0" collapsed="false">
      <c r="A14" s="18" t="str">
        <f aca="false">IF(Fournisseurs!$A$14="","",Fournisseurs!$A$14)</f>
        <v/>
      </c>
      <c r="B14" s="18" t="str">
        <f aca="false">IF($A14="","",COUNTIFS(Offres!$C$6:$C$205,$A14,Offres!$Y$6:$Y$205,1))</f>
        <v/>
      </c>
      <c r="C14" s="18" t="str">
        <f aca="false">IF($A14="","",COUNTIFS(Offres!$C$6:$C$205,$A14,Offres!$Y$6:$Y$205,0))</f>
        <v/>
      </c>
      <c r="D14" s="18" t="str">
        <f aca="false">IF($A14="","",COUNTIFS(Offres!$C$6:$C$205,$A14,Offres!$AR$6:$AR$205,1))</f>
        <v/>
      </c>
      <c r="E14" s="27" t="str">
        <f aca="false">IF($A14="","",SUMIFS(Offres!$AC$6:$AC$205,Offres!$C$6:$C$205,$A14))</f>
        <v/>
      </c>
      <c r="F14" s="27" t="str">
        <f aca="false">IF($A14="","",SUMIFS(Offres!$AT$6:$AT$205,Offres!$C$6:$C$205,$A14))</f>
        <v/>
      </c>
      <c r="G14" s="27" t="str">
        <f aca="false">IF(OR($A14="",NOT(ISNUMBER(Fournisseurs!$D$14))),"",IF(Fournisseurs!$D$14&gt;0,$E14/Fournisseurs!$D$14,""))</f>
        <v/>
      </c>
      <c r="H14" s="18" t="str">
        <f aca="false">IF($A14="","",IF(OR($B14=0,NOT(ISNUMBER($G14)),NOT(ISNUMBER(Fournisseurs!$M$14))),"?",IF($G14&gt;=Fournisseurs!$M$14,"OUI","NON")))</f>
        <v/>
      </c>
      <c r="I14" s="18" t="str">
        <f aca="false">IF($A14="","",IF(Fournisseurs!$P$14="","inconnu",Fournisseurs!$P$14))</f>
        <v/>
      </c>
      <c r="J14" s="18" t="str">
        <f aca="false">IF($A14="","",IF(Fournisseurs!$Q$14="","?",Fournisseurs!$Q$14))</f>
        <v/>
      </c>
      <c r="K14" s="18" t="str">
        <f aca="false">IF($A14="","",IF(Fournisseurs!$R$14="","",Fournisseurs!$R$14))</f>
        <v/>
      </c>
    </row>
    <row r="15" customFormat="false" ht="15" hidden="false" customHeight="false" outlineLevel="0" collapsed="false">
      <c r="A15" s="18" t="str">
        <f aca="false">IF(Fournisseurs!$A$15="","",Fournisseurs!$A$15)</f>
        <v/>
      </c>
      <c r="B15" s="18" t="str">
        <f aca="false">IF($A15="","",COUNTIFS(Offres!$C$6:$C$205,$A15,Offres!$Y$6:$Y$205,1))</f>
        <v/>
      </c>
      <c r="C15" s="18" t="str">
        <f aca="false">IF($A15="","",COUNTIFS(Offres!$C$6:$C$205,$A15,Offres!$Y$6:$Y$205,0))</f>
        <v/>
      </c>
      <c r="D15" s="18" t="str">
        <f aca="false">IF($A15="","",COUNTIFS(Offres!$C$6:$C$205,$A15,Offres!$AR$6:$AR$205,1))</f>
        <v/>
      </c>
      <c r="E15" s="27" t="str">
        <f aca="false">IF($A15="","",SUMIFS(Offres!$AC$6:$AC$205,Offres!$C$6:$C$205,$A15))</f>
        <v/>
      </c>
      <c r="F15" s="27" t="str">
        <f aca="false">IF($A15="","",SUMIFS(Offres!$AT$6:$AT$205,Offres!$C$6:$C$205,$A15))</f>
        <v/>
      </c>
      <c r="G15" s="27" t="str">
        <f aca="false">IF(OR($A15="",NOT(ISNUMBER(Fournisseurs!$D$15))),"",IF(Fournisseurs!$D$15&gt;0,$E15/Fournisseurs!$D$15,""))</f>
        <v/>
      </c>
      <c r="H15" s="18" t="str">
        <f aca="false">IF($A15="","",IF(OR($B15=0,NOT(ISNUMBER($G15)),NOT(ISNUMBER(Fournisseurs!$M$15))),"?",IF($G15&gt;=Fournisseurs!$M$15,"OUI","NON")))</f>
        <v/>
      </c>
      <c r="I15" s="18" t="str">
        <f aca="false">IF($A15="","",IF(Fournisseurs!$P$15="","inconnu",Fournisseurs!$P$15))</f>
        <v/>
      </c>
      <c r="J15" s="18" t="str">
        <f aca="false">IF($A15="","",IF(Fournisseurs!$Q$15="","?",Fournisseurs!$Q$15))</f>
        <v/>
      </c>
      <c r="K15" s="18" t="str">
        <f aca="false">IF($A15="","",IF(Fournisseurs!$R$15="","",Fournisseurs!$R$15))</f>
        <v/>
      </c>
    </row>
    <row r="16" customFormat="false" ht="15" hidden="false" customHeight="false" outlineLevel="0" collapsed="false">
      <c r="A16" s="18" t="str">
        <f aca="false">IF(Fournisseurs!$A$16="","",Fournisseurs!$A$16)</f>
        <v/>
      </c>
      <c r="B16" s="18" t="str">
        <f aca="false">IF($A16="","",COUNTIFS(Offres!$C$6:$C$205,$A16,Offres!$Y$6:$Y$205,1))</f>
        <v/>
      </c>
      <c r="C16" s="18" t="str">
        <f aca="false">IF($A16="","",COUNTIFS(Offres!$C$6:$C$205,$A16,Offres!$Y$6:$Y$205,0))</f>
        <v/>
      </c>
      <c r="D16" s="18" t="str">
        <f aca="false">IF($A16="","",COUNTIFS(Offres!$C$6:$C$205,$A16,Offres!$AR$6:$AR$205,1))</f>
        <v/>
      </c>
      <c r="E16" s="27" t="str">
        <f aca="false">IF($A16="","",SUMIFS(Offres!$AC$6:$AC$205,Offres!$C$6:$C$205,$A16))</f>
        <v/>
      </c>
      <c r="F16" s="27" t="str">
        <f aca="false">IF($A16="","",SUMIFS(Offres!$AT$6:$AT$205,Offres!$C$6:$C$205,$A16))</f>
        <v/>
      </c>
      <c r="G16" s="27" t="str">
        <f aca="false">IF(OR($A16="",NOT(ISNUMBER(Fournisseurs!$D$16))),"",IF(Fournisseurs!$D$16&gt;0,$E16/Fournisseurs!$D$16,""))</f>
        <v/>
      </c>
      <c r="H16" s="18" t="str">
        <f aca="false">IF($A16="","",IF(OR($B16=0,NOT(ISNUMBER($G16)),NOT(ISNUMBER(Fournisseurs!$M$16))),"?",IF($G16&gt;=Fournisseurs!$M$16,"OUI","NON")))</f>
        <v/>
      </c>
      <c r="I16" s="18" t="str">
        <f aca="false">IF($A16="","",IF(Fournisseurs!$P$16="","inconnu",Fournisseurs!$P$16))</f>
        <v/>
      </c>
      <c r="J16" s="18" t="str">
        <f aca="false">IF($A16="","",IF(Fournisseurs!$Q$16="","?",Fournisseurs!$Q$16))</f>
        <v/>
      </c>
      <c r="K16" s="18" t="str">
        <f aca="false">IF($A16="","",IF(Fournisseurs!$R$16="","",Fournisseurs!$R$16))</f>
        <v/>
      </c>
    </row>
    <row r="17" customFormat="false" ht="15" hidden="false" customHeight="false" outlineLevel="0" collapsed="false">
      <c r="A17" s="18" t="str">
        <f aca="false">IF(Fournisseurs!$A$17="","",Fournisseurs!$A$17)</f>
        <v/>
      </c>
      <c r="B17" s="18" t="str">
        <f aca="false">IF($A17="","",COUNTIFS(Offres!$C$6:$C$205,$A17,Offres!$Y$6:$Y$205,1))</f>
        <v/>
      </c>
      <c r="C17" s="18" t="str">
        <f aca="false">IF($A17="","",COUNTIFS(Offres!$C$6:$C$205,$A17,Offres!$Y$6:$Y$205,0))</f>
        <v/>
      </c>
      <c r="D17" s="18" t="str">
        <f aca="false">IF($A17="","",COUNTIFS(Offres!$C$6:$C$205,$A17,Offres!$AR$6:$AR$205,1))</f>
        <v/>
      </c>
      <c r="E17" s="27" t="str">
        <f aca="false">IF($A17="","",SUMIFS(Offres!$AC$6:$AC$205,Offres!$C$6:$C$205,$A17))</f>
        <v/>
      </c>
      <c r="F17" s="27" t="str">
        <f aca="false">IF($A17="","",SUMIFS(Offres!$AT$6:$AT$205,Offres!$C$6:$C$205,$A17))</f>
        <v/>
      </c>
      <c r="G17" s="27" t="str">
        <f aca="false">IF(OR($A17="",NOT(ISNUMBER(Fournisseurs!$D$17))),"",IF(Fournisseurs!$D$17&gt;0,$E17/Fournisseurs!$D$17,""))</f>
        <v/>
      </c>
      <c r="H17" s="18" t="str">
        <f aca="false">IF($A17="","",IF(OR($B17=0,NOT(ISNUMBER($G17)),NOT(ISNUMBER(Fournisseurs!$M$17))),"?",IF($G17&gt;=Fournisseurs!$M$17,"OUI","NON")))</f>
        <v/>
      </c>
      <c r="I17" s="18" t="str">
        <f aca="false">IF($A17="","",IF(Fournisseurs!$P$17="","inconnu",Fournisseurs!$P$17))</f>
        <v/>
      </c>
      <c r="J17" s="18" t="str">
        <f aca="false">IF($A17="","",IF(Fournisseurs!$Q$17="","?",Fournisseurs!$Q$17))</f>
        <v/>
      </c>
      <c r="K17" s="18" t="str">
        <f aca="false">IF($A17="","",IF(Fournisseurs!$R$17="","",Fournisseurs!$R$17))</f>
        <v/>
      </c>
    </row>
    <row r="18" customFormat="false" ht="15" hidden="false" customHeight="false" outlineLevel="0" collapsed="false">
      <c r="A18" s="18" t="str">
        <f aca="false">IF(Fournisseurs!$A$18="","",Fournisseurs!$A$18)</f>
        <v/>
      </c>
      <c r="B18" s="18" t="str">
        <f aca="false">IF($A18="","",COUNTIFS(Offres!$C$6:$C$205,$A18,Offres!$Y$6:$Y$205,1))</f>
        <v/>
      </c>
      <c r="C18" s="18" t="str">
        <f aca="false">IF($A18="","",COUNTIFS(Offres!$C$6:$C$205,$A18,Offres!$Y$6:$Y$205,0))</f>
        <v/>
      </c>
      <c r="D18" s="18" t="str">
        <f aca="false">IF($A18="","",COUNTIFS(Offres!$C$6:$C$205,$A18,Offres!$AR$6:$AR$205,1))</f>
        <v/>
      </c>
      <c r="E18" s="27" t="str">
        <f aca="false">IF($A18="","",SUMIFS(Offres!$AC$6:$AC$205,Offres!$C$6:$C$205,$A18))</f>
        <v/>
      </c>
      <c r="F18" s="27" t="str">
        <f aca="false">IF($A18="","",SUMIFS(Offres!$AT$6:$AT$205,Offres!$C$6:$C$205,$A18))</f>
        <v/>
      </c>
      <c r="G18" s="27" t="str">
        <f aca="false">IF(OR($A18="",NOT(ISNUMBER(Fournisseurs!$D$18))),"",IF(Fournisseurs!$D$18&gt;0,$E18/Fournisseurs!$D$18,""))</f>
        <v/>
      </c>
      <c r="H18" s="18" t="str">
        <f aca="false">IF($A18="","",IF(OR($B18=0,NOT(ISNUMBER($G18)),NOT(ISNUMBER(Fournisseurs!$M$18))),"?",IF($G18&gt;=Fournisseurs!$M$18,"OUI","NON")))</f>
        <v/>
      </c>
      <c r="I18" s="18" t="str">
        <f aca="false">IF($A18="","",IF(Fournisseurs!$P$18="","inconnu",Fournisseurs!$P$18))</f>
        <v/>
      </c>
      <c r="J18" s="18" t="str">
        <f aca="false">IF($A18="","",IF(Fournisseurs!$Q$18="","?",Fournisseurs!$Q$18))</f>
        <v/>
      </c>
      <c r="K18" s="18" t="str">
        <f aca="false">IF($A18="","",IF(Fournisseurs!$R$18="","",Fournisseurs!$R$18))</f>
        <v/>
      </c>
    </row>
    <row r="19" customFormat="false" ht="15" hidden="false" customHeight="false" outlineLevel="0" collapsed="false">
      <c r="A19" s="18" t="str">
        <f aca="false">IF(Fournisseurs!$A$19="","",Fournisseurs!$A$19)</f>
        <v/>
      </c>
      <c r="B19" s="18" t="str">
        <f aca="false">IF($A19="","",COUNTIFS(Offres!$C$6:$C$205,$A19,Offres!$Y$6:$Y$205,1))</f>
        <v/>
      </c>
      <c r="C19" s="18" t="str">
        <f aca="false">IF($A19="","",COUNTIFS(Offres!$C$6:$C$205,$A19,Offres!$Y$6:$Y$205,0))</f>
        <v/>
      </c>
      <c r="D19" s="18" t="str">
        <f aca="false">IF($A19="","",COUNTIFS(Offres!$C$6:$C$205,$A19,Offres!$AR$6:$AR$205,1))</f>
        <v/>
      </c>
      <c r="E19" s="27" t="str">
        <f aca="false">IF($A19="","",SUMIFS(Offres!$AC$6:$AC$205,Offres!$C$6:$C$205,$A19))</f>
        <v/>
      </c>
      <c r="F19" s="27" t="str">
        <f aca="false">IF($A19="","",SUMIFS(Offres!$AT$6:$AT$205,Offres!$C$6:$C$205,$A19))</f>
        <v/>
      </c>
      <c r="G19" s="27" t="str">
        <f aca="false">IF(OR($A19="",NOT(ISNUMBER(Fournisseurs!$D$19))),"",IF(Fournisseurs!$D$19&gt;0,$E19/Fournisseurs!$D$19,""))</f>
        <v/>
      </c>
      <c r="H19" s="18" t="str">
        <f aca="false">IF($A19="","",IF(OR($B19=0,NOT(ISNUMBER($G19)),NOT(ISNUMBER(Fournisseurs!$M$19))),"?",IF($G19&gt;=Fournisseurs!$M$19,"OUI","NON")))</f>
        <v/>
      </c>
      <c r="I19" s="18" t="str">
        <f aca="false">IF($A19="","",IF(Fournisseurs!$P$19="","inconnu",Fournisseurs!$P$19))</f>
        <v/>
      </c>
      <c r="J19" s="18" t="str">
        <f aca="false">IF($A19="","",IF(Fournisseurs!$Q$19="","?",Fournisseurs!$Q$19))</f>
        <v/>
      </c>
      <c r="K19" s="18" t="str">
        <f aca="false">IF($A19="","",IF(Fournisseurs!$R$19="","",Fournisseurs!$R$19))</f>
        <v/>
      </c>
    </row>
    <row r="20" customFormat="false" ht="15" hidden="false" customHeight="false" outlineLevel="0" collapsed="false">
      <c r="A20" s="18" t="str">
        <f aca="false">IF(Fournisseurs!$A$20="","",Fournisseurs!$A$20)</f>
        <v/>
      </c>
      <c r="B20" s="18" t="str">
        <f aca="false">IF($A20="","",COUNTIFS(Offres!$C$6:$C$205,$A20,Offres!$Y$6:$Y$205,1))</f>
        <v/>
      </c>
      <c r="C20" s="18" t="str">
        <f aca="false">IF($A20="","",COUNTIFS(Offres!$C$6:$C$205,$A20,Offres!$Y$6:$Y$205,0))</f>
        <v/>
      </c>
      <c r="D20" s="18" t="str">
        <f aca="false">IF($A20="","",COUNTIFS(Offres!$C$6:$C$205,$A20,Offres!$AR$6:$AR$205,1))</f>
        <v/>
      </c>
      <c r="E20" s="27" t="str">
        <f aca="false">IF($A20="","",SUMIFS(Offres!$AC$6:$AC$205,Offres!$C$6:$C$205,$A20))</f>
        <v/>
      </c>
      <c r="F20" s="27" t="str">
        <f aca="false">IF($A20="","",SUMIFS(Offres!$AT$6:$AT$205,Offres!$C$6:$C$205,$A20))</f>
        <v/>
      </c>
      <c r="G20" s="27" t="str">
        <f aca="false">IF(OR($A20="",NOT(ISNUMBER(Fournisseurs!$D$20))),"",IF(Fournisseurs!$D$20&gt;0,$E20/Fournisseurs!$D$20,""))</f>
        <v/>
      </c>
      <c r="H20" s="18" t="str">
        <f aca="false">IF($A20="","",IF(OR($B20=0,NOT(ISNUMBER($G20)),NOT(ISNUMBER(Fournisseurs!$M$20))),"?",IF($G20&gt;=Fournisseurs!$M$20,"OUI","NON")))</f>
        <v/>
      </c>
      <c r="I20" s="18" t="str">
        <f aca="false">IF($A20="","",IF(Fournisseurs!$P$20="","inconnu",Fournisseurs!$P$20))</f>
        <v/>
      </c>
      <c r="J20" s="18" t="str">
        <f aca="false">IF($A20="","",IF(Fournisseurs!$Q$20="","?",Fournisseurs!$Q$20))</f>
        <v/>
      </c>
      <c r="K20" s="18" t="str">
        <f aca="false">IF($A20="","",IF(Fournisseurs!$R$20="","",Fournisseurs!$R$20))</f>
        <v/>
      </c>
    </row>
    <row r="21" customFormat="false" ht="15" hidden="false" customHeight="false" outlineLevel="0" collapsed="false">
      <c r="A21" s="18" t="str">
        <f aca="false">IF(Fournisseurs!$A$21="","",Fournisseurs!$A$21)</f>
        <v/>
      </c>
      <c r="B21" s="18" t="str">
        <f aca="false">IF($A21="","",COUNTIFS(Offres!$C$6:$C$205,$A21,Offres!$Y$6:$Y$205,1))</f>
        <v/>
      </c>
      <c r="C21" s="18" t="str">
        <f aca="false">IF($A21="","",COUNTIFS(Offres!$C$6:$C$205,$A21,Offres!$Y$6:$Y$205,0))</f>
        <v/>
      </c>
      <c r="D21" s="18" t="str">
        <f aca="false">IF($A21="","",COUNTIFS(Offres!$C$6:$C$205,$A21,Offres!$AR$6:$AR$205,1))</f>
        <v/>
      </c>
      <c r="E21" s="27" t="str">
        <f aca="false">IF($A21="","",SUMIFS(Offres!$AC$6:$AC$205,Offres!$C$6:$C$205,$A21))</f>
        <v/>
      </c>
      <c r="F21" s="27" t="str">
        <f aca="false">IF($A21="","",SUMIFS(Offres!$AT$6:$AT$205,Offres!$C$6:$C$205,$A21))</f>
        <v/>
      </c>
      <c r="G21" s="27" t="str">
        <f aca="false">IF(OR($A21="",NOT(ISNUMBER(Fournisseurs!$D$21))),"",IF(Fournisseurs!$D$21&gt;0,$E21/Fournisseurs!$D$21,""))</f>
        <v/>
      </c>
      <c r="H21" s="18" t="str">
        <f aca="false">IF($A21="","",IF(OR($B21=0,NOT(ISNUMBER($G21)),NOT(ISNUMBER(Fournisseurs!$M$21))),"?",IF($G21&gt;=Fournisseurs!$M$21,"OUI","NON")))</f>
        <v/>
      </c>
      <c r="I21" s="18" t="str">
        <f aca="false">IF($A21="","",IF(Fournisseurs!$P$21="","inconnu",Fournisseurs!$P$21))</f>
        <v/>
      </c>
      <c r="J21" s="18" t="str">
        <f aca="false">IF($A21="","",IF(Fournisseurs!$Q$21="","?",Fournisseurs!$Q$21))</f>
        <v/>
      </c>
      <c r="K21" s="18" t="str">
        <f aca="false">IF($A21="","",IF(Fournisseurs!$R$21="","",Fournisseurs!$R$21))</f>
        <v/>
      </c>
    </row>
    <row r="22" customFormat="false" ht="15" hidden="false" customHeight="false" outlineLevel="0" collapsed="false">
      <c r="A22" s="18" t="str">
        <f aca="false">IF(Fournisseurs!$A$22="","",Fournisseurs!$A$22)</f>
        <v/>
      </c>
      <c r="B22" s="18" t="str">
        <f aca="false">IF($A22="","",COUNTIFS(Offres!$C$6:$C$205,$A22,Offres!$Y$6:$Y$205,1))</f>
        <v/>
      </c>
      <c r="C22" s="18" t="str">
        <f aca="false">IF($A22="","",COUNTIFS(Offres!$C$6:$C$205,$A22,Offres!$Y$6:$Y$205,0))</f>
        <v/>
      </c>
      <c r="D22" s="18" t="str">
        <f aca="false">IF($A22="","",COUNTIFS(Offres!$C$6:$C$205,$A22,Offres!$AR$6:$AR$205,1))</f>
        <v/>
      </c>
      <c r="E22" s="27" t="str">
        <f aca="false">IF($A22="","",SUMIFS(Offres!$AC$6:$AC$205,Offres!$C$6:$C$205,$A22))</f>
        <v/>
      </c>
      <c r="F22" s="27" t="str">
        <f aca="false">IF($A22="","",SUMIFS(Offres!$AT$6:$AT$205,Offres!$C$6:$C$205,$A22))</f>
        <v/>
      </c>
      <c r="G22" s="27" t="str">
        <f aca="false">IF(OR($A22="",NOT(ISNUMBER(Fournisseurs!$D$22))),"",IF(Fournisseurs!$D$22&gt;0,$E22/Fournisseurs!$D$22,""))</f>
        <v/>
      </c>
      <c r="H22" s="18" t="str">
        <f aca="false">IF($A22="","",IF(OR($B22=0,NOT(ISNUMBER($G22)),NOT(ISNUMBER(Fournisseurs!$M$22))),"?",IF($G22&gt;=Fournisseurs!$M$22,"OUI","NON")))</f>
        <v/>
      </c>
      <c r="I22" s="18" t="str">
        <f aca="false">IF($A22="","",IF(Fournisseurs!$P$22="","inconnu",Fournisseurs!$P$22))</f>
        <v/>
      </c>
      <c r="J22" s="18" t="str">
        <f aca="false">IF($A22="","",IF(Fournisseurs!$Q$22="","?",Fournisseurs!$Q$22))</f>
        <v/>
      </c>
      <c r="K22" s="18" t="str">
        <f aca="false">IF($A22="","",IF(Fournisseurs!$R$22="","",Fournisseurs!$R$22))</f>
        <v/>
      </c>
    </row>
    <row r="23" customFormat="false" ht="15" hidden="false" customHeight="false" outlineLevel="0" collapsed="false">
      <c r="A23" s="18" t="str">
        <f aca="false">IF(Fournisseurs!$A$23="","",Fournisseurs!$A$23)</f>
        <v/>
      </c>
      <c r="B23" s="18" t="str">
        <f aca="false">IF($A23="","",COUNTIFS(Offres!$C$6:$C$205,$A23,Offres!$Y$6:$Y$205,1))</f>
        <v/>
      </c>
      <c r="C23" s="18" t="str">
        <f aca="false">IF($A23="","",COUNTIFS(Offres!$C$6:$C$205,$A23,Offres!$Y$6:$Y$205,0))</f>
        <v/>
      </c>
      <c r="D23" s="18" t="str">
        <f aca="false">IF($A23="","",COUNTIFS(Offres!$C$6:$C$205,$A23,Offres!$AR$6:$AR$205,1))</f>
        <v/>
      </c>
      <c r="E23" s="27" t="str">
        <f aca="false">IF($A23="","",SUMIFS(Offres!$AC$6:$AC$205,Offres!$C$6:$C$205,$A23))</f>
        <v/>
      </c>
      <c r="F23" s="27" t="str">
        <f aca="false">IF($A23="","",SUMIFS(Offres!$AT$6:$AT$205,Offres!$C$6:$C$205,$A23))</f>
        <v/>
      </c>
      <c r="G23" s="27" t="str">
        <f aca="false">IF(OR($A23="",NOT(ISNUMBER(Fournisseurs!$D$23))),"",IF(Fournisseurs!$D$23&gt;0,$E23/Fournisseurs!$D$23,""))</f>
        <v/>
      </c>
      <c r="H23" s="18" t="str">
        <f aca="false">IF($A23="","",IF(OR($B23=0,NOT(ISNUMBER($G23)),NOT(ISNUMBER(Fournisseurs!$M$23))),"?",IF($G23&gt;=Fournisseurs!$M$23,"OUI","NON")))</f>
        <v/>
      </c>
      <c r="I23" s="18" t="str">
        <f aca="false">IF($A23="","",IF(Fournisseurs!$P$23="","inconnu",Fournisseurs!$P$23))</f>
        <v/>
      </c>
      <c r="J23" s="18" t="str">
        <f aca="false">IF($A23="","",IF(Fournisseurs!$Q$23="","?",Fournisseurs!$Q$23))</f>
        <v/>
      </c>
      <c r="K23" s="18" t="str">
        <f aca="false">IF($A23="","",IF(Fournisseurs!$R$23="","",Fournisseurs!$R$23))</f>
        <v/>
      </c>
    </row>
    <row r="24" customFormat="false" ht="15" hidden="false" customHeight="false" outlineLevel="0" collapsed="false">
      <c r="A24" s="18" t="str">
        <f aca="false">IF(Fournisseurs!$A$24="","",Fournisseurs!$A$24)</f>
        <v/>
      </c>
      <c r="B24" s="18" t="str">
        <f aca="false">IF($A24="","",COUNTIFS(Offres!$C$6:$C$205,$A24,Offres!$Y$6:$Y$205,1))</f>
        <v/>
      </c>
      <c r="C24" s="18" t="str">
        <f aca="false">IF($A24="","",COUNTIFS(Offres!$C$6:$C$205,$A24,Offres!$Y$6:$Y$205,0))</f>
        <v/>
      </c>
      <c r="D24" s="18" t="str">
        <f aca="false">IF($A24="","",COUNTIFS(Offres!$C$6:$C$205,$A24,Offres!$AR$6:$AR$205,1))</f>
        <v/>
      </c>
      <c r="E24" s="27" t="str">
        <f aca="false">IF($A24="","",SUMIFS(Offres!$AC$6:$AC$205,Offres!$C$6:$C$205,$A24))</f>
        <v/>
      </c>
      <c r="F24" s="27" t="str">
        <f aca="false">IF($A24="","",SUMIFS(Offres!$AT$6:$AT$205,Offres!$C$6:$C$205,$A24))</f>
        <v/>
      </c>
      <c r="G24" s="27" t="str">
        <f aca="false">IF(OR($A24="",NOT(ISNUMBER(Fournisseurs!$D$24))),"",IF(Fournisseurs!$D$24&gt;0,$E24/Fournisseurs!$D$24,""))</f>
        <v/>
      </c>
      <c r="H24" s="18" t="str">
        <f aca="false">IF($A24="","",IF(OR($B24=0,NOT(ISNUMBER($G24)),NOT(ISNUMBER(Fournisseurs!$M$24))),"?",IF($G24&gt;=Fournisseurs!$M$24,"OUI","NON")))</f>
        <v/>
      </c>
      <c r="I24" s="18" t="str">
        <f aca="false">IF($A24="","",IF(Fournisseurs!$P$24="","inconnu",Fournisseurs!$P$24))</f>
        <v/>
      </c>
      <c r="J24" s="18" t="str">
        <f aca="false">IF($A24="","",IF(Fournisseurs!$Q$24="","?",Fournisseurs!$Q$24))</f>
        <v/>
      </c>
      <c r="K24" s="18" t="str">
        <f aca="false">IF($A24="","",IF(Fournisseurs!$R$24="","",Fournisseurs!$R$24))</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2026-10-04T21:51:46Z</dcterms:created>
  <dc:creator>Agent pilotage-marche-sourcing</dc:creator>
  <dc:description/>
  <dc:language>en-US</dc:language>
  <cp:lastModifiedBy/>
  <dcterms:modified xsi:type="dcterms:W3CDTF">2026-10-04T21:51:46Z</dcterms:modified>
  <cp:revision>0</cp:revision>
  <dc:subject/>
  <dc:title>Comparateur d'offres fournisseurs — FICTIF uniquement</dc:title>
</cp:coreProperties>
</file>

<file path=docProps/custom.xml><?xml version="1.0" encoding="utf-8"?>
<Properties xmlns="http://schemas.openxmlformats.org/officeDocument/2006/custom-properties" xmlns:vt="http://schemas.openxmlformats.org/officeDocument/2006/docPropsVTypes"/>
</file>