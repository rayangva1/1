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ypothèses" sheetId="1" state="visible" r:id="rId3"/>
    <sheet name="Étoile polaire" sheetId="2" state="visible" r:id="rId4"/>
    <sheet name="Budget initial" sheetId="3" state="visible" r:id="rId5"/>
    <sheet name="Charges mensuelles" sheetId="4" state="visible" r:id="rId6"/>
    <sheet name="Scénarios" sheetId="5" state="visible" r:id="rId7"/>
    <sheet name="Seuil &amp; sensibilité" sheetId="6" state="visible" r:id="rId8"/>
    <sheet name="Prix plancher" sheetId="7" state="visible" r:id="rId9"/>
    <sheet name="Stock &amp; BFR" sheetId="8" state="visible" r:id="rId10"/>
  </sheets>
  <definedNames>
    <definedName function="false" hidden="false" name="CAC_eleve" vbProcedure="false">Hypothèses!$B$33</definedName>
    <definedName function="false" hidden="false" name="Capital_engage" vbProcedure="false">Hypothèses!$B$44</definedName>
    <definedName function="false" hidden="false" name="Charges_fixes" vbProcedure="false">Hypothèses!$B$12</definedName>
    <definedName function="false" hidden="false" name="Commandes_validation" vbProcedure="false">Hypothèses!$B$54</definedName>
    <definedName function="false" hidden="false" name="Cout_produit_pct" vbProcedure="false">Hypothèses!$B$14</definedName>
    <definedName function="false" hidden="false" name="Credit_fournisseur" vbProcedure="false">Hypothèses!$B$39</definedName>
    <definedName function="false" hidden="false" name="Delai_prepaiement" vbProcedure="false">Hypothèses!$B$37</definedName>
    <definedName function="false" hidden="false" name="Delai_PSP" vbProcedure="false">Hypothèses!$B$40</definedName>
    <definedName function="false" hidden="false" name="Frais_paiement_fixe" vbProcedure="false">Hypothèses!$B$51</definedName>
    <definedName function="false" hidden="false" name="Frais_paiement_pct" vbProcedure="false">Hypothèses!$B$50</definedName>
    <definedName function="false" hidden="false" name="Heures_max" vbProcedure="false">Hypothèses!$B$21</definedName>
    <definedName function="false" hidden="false" name="Heures_min" vbProcedure="false">Hypothèses!$B$20</definedName>
    <definedName function="false" hidden="false" name="Jours_mois" vbProcedure="false">Hypothèses!$B$16</definedName>
    <definedName function="false" hidden="false" name="Jours_stock" vbProcedure="false">Hypothèses!$B$38</definedName>
    <definedName function="false" hidden="false" name="Jours_validation" vbProcedure="false">Hypothèses!$B$53</definedName>
    <definedName function="false" hidden="false" name="Minutes_prep" vbProcedure="false">Hypothèses!$B$22</definedName>
    <definedName function="false" hidden="false" name="Panier_HT" vbProcedure="false">Hypothèses!$B$10</definedName>
    <definedName function="false" hidden="false" name="Panier_TTC" vbProcedure="false">Hypothèses!$B$9</definedName>
    <definedName function="false" hidden="false" name="Perte_max" vbProcedure="false">Hypothèses!$B$46</definedName>
    <definedName function="false" hidden="false" name="Plancher_CHF" vbProcedure="false">Hypothèses!$B$18</definedName>
    <definedName function="false" hidden="false" name="Plancher_pct" vbProcedure="false">Hypothèses!$B$19</definedName>
    <definedName function="false" hidden="false" name="Provision_SAV" vbProcedure="false">Hypothèses!$B$52</definedName>
    <definedName function="false" hidden="false" name="Remuneration" vbProcedure="false">Hypothèses!$B$13</definedName>
    <definedName function="false" hidden="false" name="Reserve_cash" vbProcedure="false">Hypothèses!$B$47</definedName>
    <definedName function="false" hidden="false" name="Scenario_choisi" vbProcedure="false">Hypothèses!$B$49</definedName>
    <definedName function="false" hidden="false" name="Semaines_mois" vbProcedure="false">Hypothèses!$B$17</definedName>
    <definedName function="false" hidden="false" name="Semaine_ouverture" vbProcedure="false">Hypothèses!$B$48</definedName>
    <definedName function="false" hidden="false" name="Seuil_TVA" vbProcedure="false">Hypothèses!$B$8</definedName>
    <definedName function="false" hidden="false" name="Stock_initial" vbProcedure="false">Hypothèses!$B$15</definedName>
    <definedName function="false" hidden="false" name="StopLoss_global_pct" vbProcedure="false">Hypothèses!$B$45</definedName>
    <definedName function="false" hidden="false" name="Taux_contribution" vbProcedure="false">Hypothèses!$B$11</definedName>
    <definedName function="false" hidden="false" name="Taux_sensibilite" vbProcedure="false">Hypothèses!$B$32</definedName>
    <definedName function="false" hidden="false" name="TVA" vbProcedure="false">Hypothèses!$B$7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BP : 208,79 → 209,90 implique un pas de 10 CHF et une terminaison 9,90. Lecture du BP seulement : le moteur applique la grille par tranches (ligne 26).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-244</xdr:colOff>
                <xdr:row>6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<sst xmlns="http://schemas.openxmlformats.org/spreadsheetml/2006/main" count="569" uniqueCount="431">
  <si>
    <t xml:space="preserve">Modèle financier — {{NOM_BOUTIQUE}} · boutique Pokémon JCC FR, ventes Suisse</t>
  </si>
  <si>
    <t xml:space="preserve">Source : business plan du 4 octobre 2026 (BP). Toutes les valeurs sont des hypothèses de gestion, pas des devis. Montants en CHF.</t>
  </si>
  <si>
    <t xml:space="preserve">Légende : cellules jaunes à texte bleu = entrées à modifier ; texte noir = formules (ne pas écraser) ; texte vert = lien vers une autre feuille ; gris italique = valeur publiée dans le BP (référence de contrôle).</t>
  </si>
  <si>
    <t xml:space="preserve">Paramètres généraux</t>
  </si>
  <si>
    <t xml:space="preserve">Paramètre</t>
  </si>
  <si>
    <t xml:space="preserve">Valeur</t>
  </si>
  <si>
    <t xml:space="preserve">Unité</t>
  </si>
  <si>
    <t xml:space="preserve">Source / statut</t>
  </si>
  <si>
    <t xml:space="preserve">Nom défini</t>
  </si>
  <si>
    <t xml:space="preserve">TVA sur ventes (taux normal)</t>
  </si>
  <si>
    <t xml:space="preserve">%</t>
  </si>
  <si>
    <t xml:space="preserve">BP §4 [S6] — statut TVA à confirmer avec la fiduciaire</t>
  </si>
  <si>
    <t xml:space="preserve">TVA</t>
  </si>
  <si>
    <t xml:space="preserve">Seuil d'assujettissement TVA</t>
  </si>
  <si>
    <t xml:space="preserve">CHF/an</t>
  </si>
  <si>
    <t xml:space="preserve">BP §4 [S6] — CA déterminant de toute l'entité</t>
  </si>
  <si>
    <t xml:space="preserve">Seuil_TVA</t>
  </si>
  <si>
    <t xml:space="preserve">Panier produits moyen TTC</t>
  </si>
  <si>
    <t xml:space="preserve">CHF</t>
  </si>
  <si>
    <t xml:space="preserve">BP §10 — hypothèse</t>
  </si>
  <si>
    <t xml:space="preserve">Panier_TTC</t>
  </si>
  <si>
    <t xml:space="preserve">Panier produits moyen HT</t>
  </si>
  <si>
    <t xml:space="preserve">Calcul</t>
  </si>
  <si>
    <t xml:space="preserve">Panier_HT</t>
  </si>
  <si>
    <t xml:space="preserve">Contribution produit avant acquisition</t>
  </si>
  <si>
    <t xml:space="preserve">% CA HT</t>
  </si>
  <si>
    <t xml:space="preserve">BP §10 — après achat, paiement, emballage, provision SAV</t>
  </si>
  <si>
    <t xml:space="preserve">Taux_contribution</t>
  </si>
  <si>
    <t xml:space="preserve">Charges fixes mensuelles</t>
  </si>
  <si>
    <t xml:space="preserve">CHF/mois</t>
  </si>
  <si>
    <t xml:space="preserve">Lien feuille Charges mensuelles (BP §3)</t>
  </si>
  <si>
    <t xml:space="preserve">Charges_fixes</t>
  </si>
  <si>
    <t xml:space="preserve">Rémunération budgétée</t>
  </si>
  <si>
    <t xml:space="preserve">BP §10 — hors cotisations sociales</t>
  </si>
  <si>
    <t xml:space="preserve">Remuneration</t>
  </si>
  <si>
    <t xml:space="preserve">Coût produit en % du CA net</t>
  </si>
  <si>
    <t xml:space="preserve">BP §10 — « par hypothèse »</t>
  </si>
  <si>
    <t xml:space="preserve">Cout_produit_pct</t>
  </si>
  <si>
    <t xml:space="preserve">Stock initial acheté rendu Suisse</t>
  </si>
  <si>
    <t xml:space="preserve">Lien feuille Budget initial (BP §3)</t>
  </si>
  <si>
    <t xml:space="preserve">Stock_initial</t>
  </si>
  <si>
    <t xml:space="preserve">Jours par mois (convention)</t>
  </si>
  <si>
    <t xml:space="preserve">jours</t>
  </si>
  <si>
    <t xml:space="preserve">Convention de calcul</t>
  </si>
  <si>
    <t xml:space="preserve">Jours_mois</t>
  </si>
  <si>
    <t xml:space="preserve">Semaines par mois</t>
  </si>
  <si>
    <t xml:space="preserve">sem.</t>
  </si>
  <si>
    <t xml:space="preserve">Convention 52/12</t>
  </si>
  <si>
    <t xml:space="preserve">Semaines_mois</t>
  </si>
  <si>
    <t xml:space="preserve">Plancher dur : contribution par commande</t>
  </si>
  <si>
    <t xml:space="preserve">BP §5</t>
  </si>
  <si>
    <t xml:space="preserve">Plancher_CHF</t>
  </si>
  <si>
    <t xml:space="preserve">Plancher dur : contribution en % du CA net</t>
  </si>
  <si>
    <t xml:space="preserve">Plancher_pct</t>
  </si>
  <si>
    <t xml:space="preserve">Supervision au lancement — minimum</t>
  </si>
  <si>
    <t xml:space="preserve">h/semaine</t>
  </si>
  <si>
    <t xml:space="preserve">BP §3</t>
  </si>
  <si>
    <t xml:space="preserve">Heures_min</t>
  </si>
  <si>
    <t xml:space="preserve">Supervision au lancement — maximum</t>
  </si>
  <si>
    <t xml:space="preserve">Heures_max</t>
  </si>
  <si>
    <t xml:space="preserve">Préparation d'une commande (colis)</t>
  </si>
  <si>
    <t xml:space="preserve">minutes</t>
  </si>
  <si>
    <t xml:space="preserve">HYPOTHÈSE FICTIVE — à mesurer lors des commandes tests</t>
  </si>
  <si>
    <t xml:space="preserve">Minutes_prep</t>
  </si>
  <si>
    <t xml:space="preserve">Scénarios mensuels (BP §10)</t>
  </si>
  <si>
    <t xml:space="preserve">Prudent</t>
  </si>
  <si>
    <t xml:space="preserve">Central</t>
  </si>
  <si>
    <t xml:space="preserve">Développement</t>
  </si>
  <si>
    <t xml:space="preserve">Source</t>
  </si>
  <si>
    <t xml:space="preserve">Commandes payées par mois</t>
  </si>
  <si>
    <t xml:space="preserve">BP §10 — simulations, pas une prévision de demande</t>
  </si>
  <si>
    <t xml:space="preserve">CAC moyen mélangé (CHF/commande)</t>
  </si>
  <si>
    <t xml:space="preserve">BP §10 — CAC sur commandes payées après annulations</t>
  </si>
  <si>
    <t xml:space="preserve">Sensibilité (BP §10)</t>
  </si>
  <si>
    <t xml:space="preserve">Contribution dégradée</t>
  </si>
  <si>
    <t xml:space="preserve">BP §10</t>
  </si>
  <si>
    <t xml:space="preserve">Taux_sensibilite</t>
  </si>
  <si>
    <t xml:space="preserve">CAC élevé</t>
  </si>
  <si>
    <t xml:space="preserve">CAC_eleve</t>
  </si>
  <si>
    <t xml:space="preserve">Délais du cycle cash — HYPOTHÈSES FICTIVES à remplacer (devis fournisseur, contrat PSP)</t>
  </si>
  <si>
    <t xml:space="preserve">Paiement fournisseur → réception (prépaiement)</t>
  </si>
  <si>
    <t xml:space="preserve">FICTIF — BP §4 : ne pas supposer de facture HT/à terme avant confirmation</t>
  </si>
  <si>
    <t xml:space="preserve">Delai_prepaiement</t>
  </si>
  <si>
    <t xml:space="preserve">Jours de ventes détenus en stock</t>
  </si>
  <si>
    <t xml:space="preserve">FICTIF — politique de stock à décider</t>
  </si>
  <si>
    <t xml:space="preserve">Jours_stock</t>
  </si>
  <si>
    <t xml:space="preserve">Crédit fournisseur après réception</t>
  </si>
  <si>
    <t xml:space="preserve">FICTIF — 0 = prépaiement (prudent)</t>
  </si>
  <si>
    <t xml:space="preserve">Credit_fournisseur</t>
  </si>
  <si>
    <t xml:space="preserve">Délai de versement PSP</t>
  </si>
  <si>
    <t xml:space="preserve">FICTIF — BP §7 : tester les délais de versement</t>
  </si>
  <si>
    <t xml:space="preserve">Delai_PSP</t>
  </si>
  <si>
    <t xml:space="preserve">Étoile polaire et stop-loss du mandat — décisions de la propriétaire</t>
  </si>
  <si>
    <t xml:space="preserve">Capital engagé de référence</t>
  </si>
  <si>
    <t xml:space="preserve">Lien Budget initial (BP §3) — HYPOTHÈSE : remplacer par le capital réellement engagé</t>
  </si>
  <si>
    <t xml:space="preserve">Capital_engage</t>
  </si>
  <si>
    <t xml:space="preserve">Stop-loss global : perte cumulée maximale</t>
  </si>
  <si>
    <t xml:space="preserve">% capital</t>
  </si>
  <si>
    <t xml:space="preserve">Mandat propriétaire — gel total, réarmement par la propriétaire uniquement</t>
  </si>
  <si>
    <t xml:space="preserve">StopLoss_global_pct</t>
  </si>
  <si>
    <t xml:space="preserve">Perte cumulée déclenchant le gel global</t>
  </si>
  <si>
    <t xml:space="preserve">Calcul — comparée à la contribution nette cumulée</t>
  </si>
  <si>
    <t xml:space="preserve">Perte_max</t>
  </si>
  <si>
    <t xml:space="preserve">Réserve de trésorerie = seuil du stop-loss cash</t>
  </si>
  <si>
    <t xml:space="preserve">Lien Budget initial (BP §3) — sous ce seuil : plus d'achat ni de pub</t>
  </si>
  <si>
    <t xml:space="preserve">Reserve_cash</t>
  </si>
  <si>
    <t xml:space="preserve">Semaine d'ouverture des ventes</t>
  </si>
  <si>
    <t xml:space="preserve">n° semaine</t>
  </si>
  <si>
    <t xml:space="preserve">BP §9 : ouverture douce aux jours 31 à 45 (semaine 5)</t>
  </si>
  <si>
    <t xml:space="preserve">Semaine_ouverture</t>
  </si>
  <si>
    <t xml:space="preserve">Scénario projeté (1 prudent, 2 central, 3 développement)</t>
  </si>
  <si>
    <t xml:space="preserve">choix</t>
  </si>
  <si>
    <t xml:space="preserve">Feuille Étoile polaire</t>
  </si>
  <si>
    <t xml:space="preserve">Scenario_choisi</t>
  </si>
  <si>
    <t xml:space="preserve">Frais de paiement proportionnels r</t>
  </si>
  <si>
    <t xml:space="preserve">% du TTC</t>
  </si>
  <si>
    <t xml:space="preserve">BP §4 (hypothèse) — contrat PSP</t>
  </si>
  <si>
    <t xml:space="preserve">Frais_paiement_pct</t>
  </si>
  <si>
    <t xml:space="preserve">Frais de paiement fixes b</t>
  </si>
  <si>
    <t xml:space="preserve">CHF/commande</t>
  </si>
  <si>
    <t xml:space="preserve">Frais_paiement_fixe</t>
  </si>
  <si>
    <t xml:space="preserve">Provision SAV R</t>
  </si>
  <si>
    <t xml:space="preserve">BP §4 (hypothèse)</t>
  </si>
  <si>
    <t xml:space="preserve">Provision_SAV</t>
  </si>
  <si>
    <t xml:space="preserve">Fenêtre de validation</t>
  </si>
  <si>
    <t xml:space="preserve">BP §1 — le classeur retient les semaines pleines (60 j ⇒ 8 semaines, prudent)</t>
  </si>
  <si>
    <t xml:space="preserve">Jours_validation</t>
  </si>
  <si>
    <t xml:space="preserve">Commandes payées visées sur la fenêtre</t>
  </si>
  <si>
    <t xml:space="preserve">commandes</t>
  </si>
  <si>
    <t xml:space="preserve">BP §1 — critère de test, pas une prévision</t>
  </si>
  <si>
    <t xml:space="preserve">Commandes_validation</t>
  </si>
  <si>
    <t xml:space="preserve">Étoile polaire — contribution nette cumulée (métrique unique de pilotage)</t>
  </si>
  <si>
    <t xml:space="preserve">Contribution nette = ventes nettes HT − coût historique − paiement − logistique − SAV − acquisition − charges fixes. Ni chiffre d'affaires ni followers.</t>
  </si>
  <si>
    <t xml:space="preserve">Légende : cellules jaunes à texte bleu = entrées à modifier ; texte noir = formules (ne pas écraser) ; texte vert = lien vers une autre feuille ; gris italique = valeur publiée dans le BP (référence de contrôle). Colonnes M à T : saisir le réel chaque lundi (montants HT, CHF).</t>
  </si>
  <si>
    <t xml:space="preserve">Paramètres (à modifier dans la feuille Hypothèses, lignes 44 à 54)</t>
  </si>
  <si>
    <t xml:space="preserve">Scénario projeté</t>
  </si>
  <si>
    <t xml:space="preserve">Choix en Hypothèses!B49 (1, 2 ou 3)</t>
  </si>
  <si>
    <t xml:space="preserve">Commandes par mois du scénario</t>
  </si>
  <si>
    <t xml:space="preserve">BP §10 — simulation, pas une prévision de demande</t>
  </si>
  <si>
    <t xml:space="preserve">CAC moyen du scénario (CHF/commande)</t>
  </si>
  <si>
    <t xml:space="preserve">Commandes par semaine (× 12/52)</t>
  </si>
  <si>
    <t xml:space="preserve">Volumes mensuels ramenés à la semaine</t>
  </si>
  <si>
    <t xml:space="preserve">BP §9 — charges fixes dues dès la semaine 1</t>
  </si>
  <si>
    <t xml:space="preserve">Charges fixes par semaine (× 12/52)</t>
  </si>
  <si>
    <t xml:space="preserve">BP §3 : 400 CHF/mois</t>
  </si>
  <si>
    <t xml:space="preserve">Logistique nette implicite par commande (emballage)</t>
  </si>
  <si>
    <t xml:space="preserve">Solde des 8 % de CA HT restant après coût produit 70 % et contribution 22 % (BP §10), moins paiement et SAV</t>
  </si>
  <si>
    <t xml:space="preserve">Seuil du stop-loss global (contribution nette cumulée)</t>
  </si>
  <si>
    <t xml:space="preserve">20 % du capital engagé ⇒ tout gelé, retour au niveau d'autonomie 1</t>
  </si>
  <si>
    <t xml:space="preserve">Suivi dans tresorerie_13_semaines.xlsx (lignes 50-51)</t>
  </si>
  <si>
    <t xml:space="preserve">Synthèse</t>
  </si>
  <si>
    <t xml:space="preserve">Indicateur</t>
  </si>
  <si>
    <t xml:space="preserve">Projection</t>
  </si>
  <si>
    <t xml:space="preserve">Réel</t>
  </si>
  <si>
    <t xml:space="preserve">Commentaire / contrôle</t>
  </si>
  <si>
    <t xml:space="preserve">Contribution nette cumulée (fin de période / à date)</t>
  </si>
  <si>
    <t xml:space="preserve">La métrique étoile polaire : elle doit croître semaine après semaine</t>
  </si>
  <si>
    <t xml:space="preserve">Semaines couvertes</t>
  </si>
  <si>
    <t xml:space="preserve">Cumul le plus bas</t>
  </si>
  <si>
    <t xml:space="preserve">Creux de trésorerie d'exploitation à financer</t>
  </si>
  <si>
    <t xml:space="preserve">Semaine du cumul le plus bas</t>
  </si>
  <si>
    <t xml:space="preserve">Retour à un cumul positif (semaine)</t>
  </si>
  <si>
    <t xml:space="preserve">Première semaine après le creux où le cumul redevient &gt; 0</t>
  </si>
  <si>
    <t xml:space="preserve">Stop-loss global déclenché ?</t>
  </si>
  <si>
    <t xml:space="preserve">Perte cumulée ≥ seuil (ligne 13). Réarmement : propriétaire uniquement</t>
  </si>
  <si>
    <t xml:space="preserve">Équivalent mensuel en régime (dernière semaine × 52/12)</t>
  </si>
  <si>
    <t xml:space="preserve">Jalon BP §1 : commandes payées sur la fenêtre de validation</t>
  </si>
  <si>
    <t xml:space="preserve">Jalon commandes atteint ?</t>
  </si>
  <si>
    <t xml:space="preserve">Jalon BP §1 : contribution après publicité sur la fenêtre</t>
  </si>
  <si>
    <t xml:space="preserve">Avant charges fixes</t>
  </si>
  <si>
    <t xml:space="preserve">Jalon contribution positive ?</t>
  </si>
  <si>
    <t xml:space="preserve">Survente et écoulement de 50 % du stock pilote : suivis hors de ce classeur</t>
  </si>
  <si>
    <t xml:space="preserve">Stop-loss du mandat — rappel (pokeshop.stoploss, agent gouvernance, fait foi)</t>
  </si>
  <si>
    <t xml:space="preserve">Niveau</t>
  </si>
  <si>
    <t xml:space="preserve">Déclencheur</t>
  </si>
  <si>
    <t xml:space="preserve">Seuil</t>
  </si>
  <si>
    <t xml:space="preserve">Effet automatique</t>
  </si>
  <si>
    <t xml:space="preserve">Où le suivre</t>
  </si>
  <si>
    <t xml:space="preserve">Produit</t>
  </si>
  <si>
    <t xml:space="preserve">Contribution &lt; 12 % du CA net ou &lt; 8 CHF par commande</t>
  </si>
  <si>
    <t xml:space="preserve">Vente ou promotion bloquée</t>
  </si>
  <si>
    <t xml:space="preserve">Prix plancher l. 35 ; Scénarios l. 21</t>
  </si>
  <si>
    <t xml:space="preserve">Extension</t>
  </si>
  <si>
    <t xml:space="preserve">&gt; 25 % du budget stock, ou 45 jours sans vente</t>
  </si>
  <si>
    <t xml:space="preserve">Plus de réassort + proposition de démarque</t>
  </si>
  <si>
    <t xml:space="preserve">Budget initial l. 26</t>
  </si>
  <si>
    <t xml:space="preserve">Publicité</t>
  </si>
  <si>
    <t xml:space="preserve">CAC &gt; contribution par commande sur 7 jours glissants, ou plafond journalier</t>
  </si>
  <si>
    <t xml:space="preserve">Campagne coupée</t>
  </si>
  <si>
    <t xml:space="preserve">Scénarios l. 26 ; tableau de bord acquisition</t>
  </si>
  <si>
    <t xml:space="preserve">Cash</t>
  </si>
  <si>
    <t xml:space="preserve">Cash disponible (solde − précommandes) &lt; réserve</t>
  </si>
  <si>
    <t xml:space="preserve">Plus d'achat ni de publicité</t>
  </si>
  <si>
    <t xml:space="preserve">tresorerie_13_semaines.xlsx l. 49 à 51</t>
  </si>
  <si>
    <t xml:space="preserve">Global</t>
  </si>
  <si>
    <t xml:space="preserve">Perte cumulée ≥ 20 % du capital engagé</t>
  </si>
  <si>
    <t xml:space="preserve">TOUT gelé, retour au niveau d'autonomie 1, alerte ; réarmement par la propriétaire</t>
  </si>
  <si>
    <t xml:space="preserve">Cette feuille, colonne Y</t>
  </si>
  <si>
    <t xml:space="preserve">Temps</t>
  </si>
  <si>
    <t xml:space="preserve">60 jours sans atteindre les seuils de validation</t>
  </si>
  <si>
    <t xml:space="preserve">Dossier continuer / ajuster / arrêter</t>
  </si>
  <si>
    <t xml:space="preserve">Cette feuille, lignes 25 à 28</t>
  </si>
  <si>
    <t xml:space="preserve">RÉEL — à saisir chaque lundi (CHF HT, coûts en positif)</t>
  </si>
  <si>
    <t xml:space="preserve">RÉEL — calculé</t>
  </si>
  <si>
    <t xml:space="preserve">Aides de calcul</t>
  </si>
  <si>
    <t xml:space="preserve">Semaine</t>
  </si>
  <si>
    <t xml:space="preserve">Commandes</t>
  </si>
  <si>
    <t xml:space="preserve">Ventes nettes HT</t>
  </si>
  <si>
    <t xml:space="preserve">Coût historique</t>
  </si>
  <si>
    <t xml:space="preserve">Paiement</t>
  </si>
  <si>
    <t xml:space="preserve">Logistique nette</t>
  </si>
  <si>
    <t xml:space="preserve">SAV</t>
  </si>
  <si>
    <t xml:space="preserve">Acquisition</t>
  </si>
  <si>
    <t xml:space="preserve">Contribution après pub</t>
  </si>
  <si>
    <t xml:space="preserve">Charges fixes</t>
  </si>
  <si>
    <t xml:space="preserve">Contribution nette</t>
  </si>
  <si>
    <t xml:space="preserve">Cumul projeté</t>
  </si>
  <si>
    <t xml:space="preserve">Commandes payées</t>
  </si>
  <si>
    <t xml:space="preserve">CUMUL RÉEL (étoile polaire)</t>
  </si>
  <si>
    <t xml:space="preserve">Écart cumul réel − projeté</t>
  </si>
  <si>
    <t xml:space="preserve">Statut stop-loss global</t>
  </si>
  <si>
    <t xml:space="preserve">aide : reprise projetée</t>
  </si>
  <si>
    <t xml:space="preserve">aide : gel projeté</t>
  </si>
  <si>
    <t xml:space="preserve">aide : reprise réelle</t>
  </si>
  <si>
    <t xml:space="preserve">aide : gel réel</t>
  </si>
  <si>
    <t xml:space="preserve">Budget initial — décaissement pilote (BP §3)</t>
  </si>
  <si>
    <t xml:space="preserve">Aucune offre prestataire confirmée. Remplacer chaque ligne par un devis avant engagement.</t>
  </si>
  <si>
    <t xml:space="preserve">Poste</t>
  </si>
  <si>
    <t xml:space="preserve">Budget pilote CHF</t>
  </si>
  <si>
    <t xml:space="preserve">Nature (BP)</t>
  </si>
  <si>
    <t xml:space="preserve">Traitement en trésorerie</t>
  </si>
  <si>
    <t xml:space="preserve">Stock acheté rendu Suisse</t>
  </si>
  <si>
    <t xml:space="preserve">Hypothèse de coût cash</t>
  </si>
  <si>
    <t xml:space="preserve">Achats de stock engagés</t>
  </si>
  <si>
    <t xml:space="preserve">Site et automatisation pilote</t>
  </si>
  <si>
    <t xml:space="preserve">Budget plafonné ; réalisation interne/assistée</t>
  </si>
  <si>
    <t xml:space="preserve">Dépenses de lancement</t>
  </si>
  <si>
    <t xml:space="preserve">DA et contenus de lancement</t>
  </si>
  <si>
    <t xml:space="preserve">Dépenses cash hors temps interne</t>
  </si>
  <si>
    <t xml:space="preserve">Administration et revue des documents</t>
  </si>
  <si>
    <t xml:space="preserve">Provision à confirmer par devis</t>
  </si>
  <si>
    <t xml:space="preserve">Emballages et matériel</t>
  </si>
  <si>
    <t xml:space="preserve">Provision</t>
  </si>
  <si>
    <t xml:space="preserve">Test acquisition</t>
  </si>
  <si>
    <t xml:space="preserve">Plafond avant validation CAC</t>
  </si>
  <si>
    <t xml:space="preserve">Publicité (jours 46 à 60)</t>
  </si>
  <si>
    <t xml:space="preserve">Réserve de trésorerie</t>
  </si>
  <si>
    <t xml:space="preserve">Réassort, versements différés, remboursement</t>
  </si>
  <si>
    <t xml:space="preserve">Non décaissée</t>
  </si>
  <si>
    <t xml:space="preserve">Total</t>
  </si>
  <si>
    <t xml:space="preserve">Total publié dans le BP</t>
  </si>
  <si>
    <t xml:space="preserve">Contrôle</t>
  </si>
  <si>
    <t xml:space="preserve">Décaissé avant la première vente (hors réserve)</t>
  </si>
  <si>
    <t xml:space="preserve">Trésorerie conservée à l'ouverture (réserve)</t>
  </si>
  <si>
    <t xml:space="preserve">Attention : les charges fixes des mois sans ventes ne figurent pas dans ce budget (voir NOTE_VERIFICATION_BP.md).</t>
  </si>
  <si>
    <t xml:space="preserve">Répartition indicative du budget stock (BP §1) — suit les marges et allocations, pas un objectif de volume</t>
  </si>
  <si>
    <t xml:space="preserve">Catégorie</t>
  </si>
  <si>
    <t xml:space="preserve">Part du stock</t>
  </si>
  <si>
    <t xml:space="preserve">Remarque</t>
  </si>
  <si>
    <t xml:space="preserve">Displays</t>
  </si>
  <si>
    <t xml:space="preserve">ETB</t>
  </si>
  <si>
    <t xml:space="preserve">Bundles et tripacks</t>
  </si>
  <si>
    <t xml:space="preserve">Coffrets</t>
  </si>
  <si>
    <t xml:space="preserve">Accessoires</t>
  </si>
  <si>
    <t xml:space="preserve">Plafond par extension au lancement</t>
  </si>
  <si>
    <t xml:space="preserve">BP §1 — exceptions à documenter</t>
  </si>
  <si>
    <t xml:space="preserve">Charges mensuelles de simulation (BP §3)</t>
  </si>
  <si>
    <t xml:space="preserve">Enveloppes, pas les tarifs actuels des logiciels ou prestataires. Hors publicité et rémunération.</t>
  </si>
  <si>
    <t xml:space="preserve">CHF par mois</t>
  </si>
  <si>
    <t xml:space="preserve">Source / à remplacer par</t>
  </si>
  <si>
    <t xml:space="preserve">Site, apps, hébergement et automatisation</t>
  </si>
  <si>
    <t xml:space="preserve">Abonnement boutique + apps + hébergement (devis)</t>
  </si>
  <si>
    <t xml:space="preserve">Comptabilité et administration</t>
  </si>
  <si>
    <t xml:space="preserve">Offre fiduciaire</t>
  </si>
  <si>
    <t xml:space="preserve">Divers, assurance et petit stockage</t>
  </si>
  <si>
    <t xml:space="preserve">Offres assurance RC / stockage</t>
  </si>
  <si>
    <t xml:space="preserve">Total fixe hors publicité et rémunération</t>
  </si>
  <si>
    <t xml:space="preserve">Temps de travail non rémunéré dans le résultat (BP §3 : le valoriser à part)</t>
  </si>
  <si>
    <t xml:space="preserve">Heures par mois</t>
  </si>
  <si>
    <t xml:space="preserve">Supervision — minimum</t>
  </si>
  <si>
    <t xml:space="preserve">6 h/semaine × 52/12</t>
  </si>
  <si>
    <t xml:space="preserve">Supervision — maximum</t>
  </si>
  <si>
    <t xml:space="preserve">10 h/semaine × 52/12</t>
  </si>
  <si>
    <t xml:space="preserve">Préparation des colis</t>
  </si>
  <si>
    <t xml:space="preserve">Voir feuille Scénarios (minutes par commande × commandes)</t>
  </si>
  <si>
    <t xml:space="preserve">Entité assujettie, méthode effective. Aucun salaire, impôt, amortissement ni coût initial inclus. Valeurs exactes ; affichage arrondi.</t>
  </si>
  <si>
    <t xml:space="preserve">Indicateur (par mois)</t>
  </si>
  <si>
    <t xml:space="preserve">Unité / formule</t>
  </si>
  <si>
    <t xml:space="preserve">Hypothèses</t>
  </si>
  <si>
    <t xml:space="preserve">Panier produits TTC</t>
  </si>
  <si>
    <t xml:space="preserve">Panier produits HT</t>
  </si>
  <si>
    <t xml:space="preserve">CHF = TTC / (1 + TVA)</t>
  </si>
  <si>
    <t xml:space="preserve">CA produits TTC</t>
  </si>
  <si>
    <t xml:space="preserve">CA produits HT</t>
  </si>
  <si>
    <t xml:space="preserve">TVA collectée (à reverser)</t>
  </si>
  <si>
    <t xml:space="preserve">Contribution avant acquisition</t>
  </si>
  <si>
    <t xml:space="preserve">CHF = CA HT × 22 %</t>
  </si>
  <si>
    <t xml:space="preserve">CAC moyen</t>
  </si>
  <si>
    <t xml:space="preserve">CHF / commande</t>
  </si>
  <si>
    <t xml:space="preserve">Acquisition totale</t>
  </si>
  <si>
    <t xml:space="preserve">Résultat avant rémunération</t>
  </si>
  <si>
    <t xml:space="preserve">CHF (hors cotisations)</t>
  </si>
  <si>
    <t xml:space="preserve">Résultat après rémunération</t>
  </si>
  <si>
    <t xml:space="preserve">Contribution / commande avant acquisition</t>
  </si>
  <si>
    <t xml:space="preserve">Contribution / commande après CAC</t>
  </si>
  <si>
    <t xml:space="preserve">Contribution après CAC en % du CA HT</t>
  </si>
  <si>
    <t xml:space="preserve">Plancher dur BP §5 respecté ? (≥ 8 CHF et ≥ 12 %)</t>
  </si>
  <si>
    <t xml:space="preserve">CA TTC annualisé</t>
  </si>
  <si>
    <t xml:space="preserve">Seuil TVA 100 000 CHF atteint ?</t>
  </si>
  <si>
    <t xml:space="preserve">BP §4, §10</t>
  </si>
  <si>
    <t xml:space="preserve">Heures de travail / mois (supervision moyenne + colis)</t>
  </si>
  <si>
    <t xml:space="preserve">h</t>
  </si>
  <si>
    <t xml:space="preserve">Rémunération implicite du travail</t>
  </si>
  <si>
    <t xml:space="preserve">CHF/h, avant impôts et charges sociales</t>
  </si>
  <si>
    <t xml:space="preserve">Stop-loss pub : CAC &gt; contribution / commande ?</t>
  </si>
  <si>
    <t xml:space="preserve">Mandat (7 jours glissants en exploitation)</t>
  </si>
  <si>
    <t xml:space="preserve">Contrôle vs valeurs publiées au BP §10 (arrondies au franc)</t>
  </si>
  <si>
    <t xml:space="preserve">Valeur BP</t>
  </si>
  <si>
    <t xml:space="preserve">Écart = arrondi(recalcul) − BP</t>
  </si>
  <si>
    <t xml:space="preserve">Écart (CHF)</t>
  </si>
  <si>
    <t xml:space="preserve">Commentaire</t>
  </si>
  <si>
    <t xml:space="preserve">Écart CA produits TTC</t>
  </si>
  <si>
    <t xml:space="preserve">Écart CA produits HT</t>
  </si>
  <si>
    <t xml:space="preserve">Développement : 19 000 / 1,081 = 17 576,32 ⇒ 17 576 (BP 17 577, sans effet sur la suite)</t>
  </si>
  <si>
    <t xml:space="preserve">Écart Contribution avant acquisition</t>
  </si>
  <si>
    <t xml:space="preserve">Écart Acquisition totale</t>
  </si>
  <si>
    <t xml:space="preserve">Écart Résultat avant rémunération</t>
  </si>
  <si>
    <t xml:space="preserve">Statut</t>
  </si>
  <si>
    <t xml:space="preserve">Seuil de rentabilité et sensibilité (BP §10)</t>
  </si>
  <si>
    <t xml:space="preserve">Seuil = charges à couvrir / contribution par commande après CAC, arrondi au-dessus. Le BP arrondit la contribution au centime avant de diviser.</t>
  </si>
  <si>
    <t xml:space="preserve">Seuil de rentabilité — scénario central</t>
  </si>
  <si>
    <t xml:space="preserve">Calcul exact</t>
  </si>
  <si>
    <t xml:space="preserve">Méthode BP (centime)</t>
  </si>
  <si>
    <t xml:space="preserve">CAC moyen (central)</t>
  </si>
  <si>
    <t xml:space="preserve">Charges fixes à couvrir</t>
  </si>
  <si>
    <t xml:space="preserve">Seuil en commandes (décimal)</t>
  </si>
  <si>
    <t xml:space="preserve">Seuil cash d'exploitation (commandes/mois)</t>
  </si>
  <si>
    <t xml:space="preserve">Exact 29,99 ⇒ 30 commandes, mais 30 × 13,334 ne dépasse 400 que de 0,02 CHF : garder 31.</t>
  </si>
  <si>
    <t xml:space="preserve">Surplus au seuil (CHF)</t>
  </si>
  <si>
    <t xml:space="preserve">Seuil avec rémunération budgétée (commandes/mois)</t>
  </si>
  <si>
    <t xml:space="preserve">Hors cotisations sociales et coûts de la rémunération (à ajouter).</t>
  </si>
  <si>
    <t xml:space="preserve">Sensibilité publiée au BP §10</t>
  </si>
  <si>
    <t xml:space="preserve">Cas</t>
  </si>
  <si>
    <t xml:space="preserve">Contribution / commande</t>
  </si>
  <si>
    <t xml:space="preserve">Après CAC</t>
  </si>
  <si>
    <t xml:space="preserve">Seuil (commandes)</t>
  </si>
  <si>
    <t xml:space="preserve">Valeur BP (seuil)</t>
  </si>
  <si>
    <t xml:space="preserve">Plancher dur 8 CHF/commande (BP §5) ?</t>
  </si>
  <si>
    <t xml:space="preserve">Contribution 15 %, CAC central</t>
  </si>
  <si>
    <t xml:space="preserve">Contribution 22 %, CAC élevé</t>
  </si>
  <si>
    <t xml:space="preserve">Valeurs BP par commande</t>
  </si>
  <si>
    <t xml:space="preserve">13,18 / 22 % : 19,33</t>
  </si>
  <si>
    <t xml:space="preserve">7,18 / 4,33</t>
  </si>
  <si>
    <t xml:space="preserve">Seuil (commandes/mois) — charges fixes seules ; orange = contribution après CAC sous le plancher dur de 8 CHF</t>
  </si>
  <si>
    <t xml:space="preserve">Contribution ↓ / CAC (CHF) →</t>
  </si>
  <si>
    <t xml:space="preserve">Seuil (commandes/mois) — charges fixes + rémunération budgétée</t>
  </si>
  <si>
    <t xml:space="preserve">Prix plancher et contrôle de contribution (BP §4)</t>
  </si>
  <si>
    <t xml:space="preserve">P = (C + b + L + R + A) / ((1 − m) / (1 + t) − r). Exemple FICTIF du BP : aucun coût n'est un devis.</t>
  </si>
  <si>
    <t xml:space="preserve">Cas 1 — assujetti (méthode effective)</t>
  </si>
  <si>
    <t xml:space="preserve">Cas 2 — non assujetti (t = 0)</t>
  </si>
  <si>
    <t xml:space="preserve">Achat net hors TVA récupérable</t>
  </si>
  <si>
    <t xml:space="preserve">BP §4 — exemple fictif</t>
  </si>
  <si>
    <t xml:space="preserve">TVA non récupérable incluse dans C</t>
  </si>
  <si>
    <t xml:space="preserve">Cas 2 : 8,1 % non récupérables</t>
  </si>
  <si>
    <t xml:space="preserve">Coût rendu C</t>
  </si>
  <si>
    <t xml:space="preserve">BP §4 (151,34 dans le cas 2)</t>
  </si>
  <si>
    <t xml:space="preserve">BP §4</t>
  </si>
  <si>
    <t xml:space="preserve">Frais fixes de paiement b</t>
  </si>
  <si>
    <t xml:space="preserve">Préparation/expédition supportée L</t>
  </si>
  <si>
    <t xml:space="preserve">Acquisition attribuée A</t>
  </si>
  <si>
    <t xml:space="preserve">Contribution cible m</t>
  </si>
  <si>
    <t xml:space="preserve">% CA net</t>
  </si>
  <si>
    <t xml:space="preserve">BP §4-§5</t>
  </si>
  <si>
    <t xml:space="preserve">TVA sur ventes t</t>
  </si>
  <si>
    <t xml:space="preserve">Numérateur C + b + L + R + A</t>
  </si>
  <si>
    <t xml:space="preserve">Dénominateur (1 − m)/(1 + t) − r</t>
  </si>
  <si>
    <t xml:space="preserve">Prix plancher P (exact)</t>
  </si>
  <si>
    <t xml:space="preserve">Prix plancher arrondi au centime</t>
  </si>
  <si>
    <t xml:space="preserve">Lecture BP — pas d'arrondi du prix public</t>
  </si>
  <si>
    <t xml:space="preserve">Lecture BP — terminaison du prix public</t>
  </si>
  <si>
    <t xml:space="preserve">Prix public — lecture BP (pas 10 / 9,90), différente du moteur v1</t>
  </si>
  <si>
    <t xml:space="preserve">Concorde avec le moteur sur le cas BP seulement (coût 50 : 89,90 ici, 83,90 moteur)</t>
  </si>
  <si>
    <t xml:space="preserve">Lecture alternative « prochain X,90 » (pas de 1 CHF)</t>
  </si>
  <si>
    <t xml:space="preserve">Lectures du BP ; règle appliquée par le moteur : ligne 26</t>
  </si>
  <si>
    <t xml:space="preserve">Valeur BP — prix plancher</t>
  </si>
  <si>
    <t xml:space="preserve">Valeur BP — prix public arrondi</t>
  </si>
  <si>
    <t xml:space="preserve">n.c.</t>
  </si>
  <si>
    <t xml:space="preserve">Prix public moteur v1 (grille rounding_tiers, prix rentable ≥ 8 CHF par commande)</t>
  </si>
  <si>
    <t xml:space="preserve">pokeshop.pricing (fait foi) : config/pricing_rules.v1.yaml, avant revérification</t>
  </si>
  <si>
    <t xml:space="preserve">Contribution d'une vente unitaire à un prix donné (cas 1)</t>
  </si>
  <si>
    <t xml:space="preserve">Prix testé</t>
  </si>
  <si>
    <t xml:space="preserve">Prix public arrondi</t>
  </si>
  <si>
    <t xml:space="preserve">BP à 199,90</t>
  </si>
  <si>
    <t xml:space="preserve">Statut (prix testé)</t>
  </si>
  <si>
    <t xml:space="preserve">Prix public TTC</t>
  </si>
  <si>
    <t xml:space="preserve">Vente nette = P / (1 + t)</t>
  </si>
  <si>
    <t xml:space="preserve">Frais de paiement = r × P + b</t>
  </si>
  <si>
    <t xml:space="preserve">Contribution = net − C − paiement − L − R − A</t>
  </si>
  <si>
    <t xml:space="preserve">Contribution en % du CA net</t>
  </si>
  <si>
    <t xml:space="preserve">Cible m atteinte ?</t>
  </si>
  <si>
    <t xml:space="preserve">Plancher dur BP §5 respecté (≥ 12 % et ≥ 8 CHF) ?</t>
  </si>
  <si>
    <t xml:space="preserve">Stock nécessaire et besoin en fonds de roulement (BP §10)</t>
  </si>
  <si>
    <t xml:space="preserve">Les délais du cycle cash sont des HYPOTHÈSES FICTIVES (feuille Hypothèses) à remplacer par les conditions réelles fournisseur et PSP.</t>
  </si>
  <si>
    <t xml:space="preserve">Stock consommé par mois</t>
  </si>
  <si>
    <t xml:space="preserve">Commandes par mois</t>
  </si>
  <si>
    <t xml:space="preserve">CA net HT</t>
  </si>
  <si>
    <t xml:space="preserve">Achats consommés HT</t>
  </si>
  <si>
    <t xml:space="preserve">Stock initial (budget BP §3)</t>
  </si>
  <si>
    <t xml:space="preserve">Part d'un mois couverte par le stock initial</t>
  </si>
  <si>
    <t xml:space="preserve">Couverture du stock initial</t>
  </si>
  <si>
    <t xml:space="preserve">jours de ventes</t>
  </si>
  <si>
    <t xml:space="preserve">Manque pour financer un mois d'achats</t>
  </si>
  <si>
    <t xml:space="preserve">Valeurs BP (central) : CA net 8 788 ; achats 6 152</t>
  </si>
  <si>
    <t xml:space="preserve">Besoin en fonds de roulement (BFR) d'exploitation</t>
  </si>
  <si>
    <t xml:space="preserve">Achats consommés par jour</t>
  </si>
  <si>
    <t xml:space="preserve">achats / jours par mois</t>
  </si>
  <si>
    <t xml:space="preserve">CA TTC encaissé par jour</t>
  </si>
  <si>
    <t xml:space="preserve">commandes × panier TTC / jours</t>
  </si>
  <si>
    <t xml:space="preserve">Stock immobilisé (prépaiement + jours de stock)</t>
  </si>
  <si>
    <t xml:space="preserve">achats/jour × (délai + jours de stock)</t>
  </si>
  <si>
    <t xml:space="preserve">Encaissements PSP en attente de versement</t>
  </si>
  <si>
    <t xml:space="preserve">CA/jour × délai PSP</t>
  </si>
  <si>
    <t xml:space="preserve">Crédit fournisseur (ressource)</t>
  </si>
  <si>
    <t xml:space="preserve">achats/jour × jours de crédit</t>
  </si>
  <si>
    <t xml:space="preserve">BFR total</t>
  </si>
  <si>
    <t xml:space="preserve">stock + PSP − crédit</t>
  </si>
  <si>
    <t xml:space="preserve">Trésorerie mobilisable au lancement (stock + réserve)</t>
  </si>
  <si>
    <t xml:space="preserve">budget BP §3</t>
  </si>
  <si>
    <t xml:space="preserve">Écart à financer (BFR − mobilisable)</t>
  </si>
  <si>
    <t xml:space="preserve">apport, réassort plus fréquent</t>
  </si>
  <si>
    <t xml:space="preserve">Non comptés (prudence) : TVA collectée conservée jusqu'au décompte, TVA d'achat/import préfinancée. À affiner avec la fiduciaire.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</si>
</sst>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;\(#,##0\);\-"/>
    <numFmt numFmtId="167" formatCode="#,##0.00;\(#,##0.00\);\-"/>
    <numFmt numFmtId="168" formatCode="0"/>
    <numFmt numFmtId="169" formatCode="0.00"/>
    <numFmt numFmtId="170" formatCode="@"/>
    <numFmt numFmtId="171" formatCode="#,##0.00;[RED]\(#,##0.00\);\-"/>
    <numFmt numFmtId="172" formatCode="0.0"/>
    <numFmt numFmtId="173" formatCode="0;\-0;\0"/>
    <numFmt numFmtId="174" formatCode="0.0000"/>
    <numFmt numFmtId="175" formatCode="0.000000"/>
    <numFmt numFmtId="176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7F6000"/>
        <bgColor rgb="FF595959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6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 customFormat="false" ht="15" hidden="false" customHeight="false" outlineLevel="0" collapsed="false">
      <c r="A7" s="7" t="s">
        <v>9</v>
      </c>
      <c r="B7" s="8" t="n">
        <v>0.081</v>
      </c>
      <c r="C7" s="7" t="s">
        <v>10</v>
      </c>
      <c r="D7" s="7" t="s">
        <v>11</v>
      </c>
      <c r="E7" s="9" t="s">
        <v>12</v>
      </c>
    </row>
    <row r="8" customFormat="false" ht="15" hidden="false" customHeight="false" outlineLevel="0" collapsed="false">
      <c r="A8" s="7" t="s">
        <v>13</v>
      </c>
      <c r="B8" s="10" t="n">
        <v>100000</v>
      </c>
      <c r="C8" s="7" t="s">
        <v>14</v>
      </c>
      <c r="D8" s="7" t="s">
        <v>15</v>
      </c>
      <c r="E8" s="9" t="s">
        <v>16</v>
      </c>
    </row>
    <row r="9" customFormat="false" ht="15" hidden="false" customHeight="false" outlineLevel="0" collapsed="false">
      <c r="A9" s="7" t="s">
        <v>17</v>
      </c>
      <c r="B9" s="11" t="n">
        <v>95</v>
      </c>
      <c r="C9" s="7" t="s">
        <v>18</v>
      </c>
      <c r="D9" s="7" t="s">
        <v>19</v>
      </c>
      <c r="E9" s="9" t="s">
        <v>20</v>
      </c>
    </row>
    <row r="10" customFormat="false" ht="15" hidden="false" customHeight="false" outlineLevel="0" collapsed="false">
      <c r="A10" s="7" t="s">
        <v>21</v>
      </c>
      <c r="B10" s="12" t="n">
        <f aca="false">Panier_TTC/(1+TVA)</f>
        <v>87.881591119334</v>
      </c>
      <c r="C10" s="7" t="s">
        <v>18</v>
      </c>
      <c r="D10" s="7" t="s">
        <v>22</v>
      </c>
      <c r="E10" s="9" t="s">
        <v>23</v>
      </c>
    </row>
    <row r="11" customFormat="false" ht="15" hidden="false" customHeight="false" outlineLevel="0" collapsed="false">
      <c r="A11" s="7" t="s">
        <v>24</v>
      </c>
      <c r="B11" s="8" t="n">
        <v>0.22</v>
      </c>
      <c r="C11" s="7" t="s">
        <v>25</v>
      </c>
      <c r="D11" s="7" t="s">
        <v>26</v>
      </c>
      <c r="E11" s="9" t="s">
        <v>27</v>
      </c>
    </row>
    <row r="12" customFormat="false" ht="15" hidden="false" customHeight="false" outlineLevel="0" collapsed="false">
      <c r="A12" s="7" t="s">
        <v>28</v>
      </c>
      <c r="B12" s="13" t="n">
        <f aca="false">'Charges mensuelles'!B7</f>
        <v>400</v>
      </c>
      <c r="C12" s="7" t="s">
        <v>29</v>
      </c>
      <c r="D12" s="7" t="s">
        <v>30</v>
      </c>
      <c r="E12" s="9" t="s">
        <v>31</v>
      </c>
    </row>
    <row r="13" customFormat="false" ht="15" hidden="false" customHeight="false" outlineLevel="0" collapsed="false">
      <c r="A13" s="7" t="s">
        <v>32</v>
      </c>
      <c r="B13" s="10" t="n">
        <v>2000</v>
      </c>
      <c r="C13" s="7" t="s">
        <v>29</v>
      </c>
      <c r="D13" s="7" t="s">
        <v>33</v>
      </c>
      <c r="E13" s="9" t="s">
        <v>34</v>
      </c>
    </row>
    <row r="14" customFormat="false" ht="15" hidden="false" customHeight="false" outlineLevel="0" collapsed="false">
      <c r="A14" s="7" t="s">
        <v>35</v>
      </c>
      <c r="B14" s="8" t="n">
        <v>0.7</v>
      </c>
      <c r="C14" s="7" t="s">
        <v>10</v>
      </c>
      <c r="D14" s="7" t="s">
        <v>36</v>
      </c>
      <c r="E14" s="9" t="s">
        <v>37</v>
      </c>
    </row>
    <row r="15" customFormat="false" ht="15" hidden="false" customHeight="false" outlineLevel="0" collapsed="false">
      <c r="A15" s="7" t="s">
        <v>38</v>
      </c>
      <c r="B15" s="13" t="n">
        <f aca="false">'Budget initial'!B5</f>
        <v>3000</v>
      </c>
      <c r="C15" s="7" t="s">
        <v>18</v>
      </c>
      <c r="D15" s="7" t="s">
        <v>39</v>
      </c>
      <c r="E15" s="9" t="s">
        <v>40</v>
      </c>
    </row>
    <row r="16" customFormat="false" ht="15" hidden="false" customHeight="false" outlineLevel="0" collapsed="false">
      <c r="A16" s="7" t="s">
        <v>41</v>
      </c>
      <c r="B16" s="14" t="n">
        <v>30</v>
      </c>
      <c r="C16" s="7" t="s">
        <v>42</v>
      </c>
      <c r="D16" s="7" t="s">
        <v>43</v>
      </c>
      <c r="E16" s="9" t="s">
        <v>44</v>
      </c>
    </row>
    <row r="17" customFormat="false" ht="15" hidden="false" customHeight="false" outlineLevel="0" collapsed="false">
      <c r="A17" s="7" t="s">
        <v>45</v>
      </c>
      <c r="B17" s="15" t="n">
        <f aca="false">52/12</f>
        <v>4.33333333333333</v>
      </c>
      <c r="C17" s="7" t="s">
        <v>46</v>
      </c>
      <c r="D17" s="7" t="s">
        <v>47</v>
      </c>
      <c r="E17" s="9" t="s">
        <v>48</v>
      </c>
    </row>
    <row r="18" customFormat="false" ht="15" hidden="false" customHeight="false" outlineLevel="0" collapsed="false">
      <c r="A18" s="7" t="s">
        <v>49</v>
      </c>
      <c r="B18" s="11" t="n">
        <v>8</v>
      </c>
      <c r="C18" s="7" t="s">
        <v>18</v>
      </c>
      <c r="D18" s="7" t="s">
        <v>50</v>
      </c>
      <c r="E18" s="9" t="s">
        <v>51</v>
      </c>
    </row>
    <row r="19" customFormat="false" ht="15" hidden="false" customHeight="false" outlineLevel="0" collapsed="false">
      <c r="A19" s="7" t="s">
        <v>52</v>
      </c>
      <c r="B19" s="8" t="n">
        <v>0.12</v>
      </c>
      <c r="C19" s="7" t="s">
        <v>10</v>
      </c>
      <c r="D19" s="7" t="s">
        <v>50</v>
      </c>
      <c r="E19" s="9" t="s">
        <v>53</v>
      </c>
    </row>
    <row r="20" customFormat="false" ht="15" hidden="false" customHeight="false" outlineLevel="0" collapsed="false">
      <c r="A20" s="7" t="s">
        <v>54</v>
      </c>
      <c r="B20" s="14" t="n">
        <v>6</v>
      </c>
      <c r="C20" s="7" t="s">
        <v>55</v>
      </c>
      <c r="D20" s="7" t="s">
        <v>56</v>
      </c>
      <c r="E20" s="9" t="s">
        <v>57</v>
      </c>
    </row>
    <row r="21" customFormat="false" ht="15" hidden="false" customHeight="false" outlineLevel="0" collapsed="false">
      <c r="A21" s="7" t="s">
        <v>58</v>
      </c>
      <c r="B21" s="14" t="n">
        <v>10</v>
      </c>
      <c r="C21" s="7" t="s">
        <v>55</v>
      </c>
      <c r="D21" s="7" t="s">
        <v>56</v>
      </c>
      <c r="E21" s="9" t="s">
        <v>59</v>
      </c>
    </row>
    <row r="22" customFormat="false" ht="15" hidden="false" customHeight="false" outlineLevel="0" collapsed="false">
      <c r="A22" s="7" t="s">
        <v>60</v>
      </c>
      <c r="B22" s="14" t="n">
        <v>15</v>
      </c>
      <c r="C22" s="7" t="s">
        <v>61</v>
      </c>
      <c r="D22" s="16" t="s">
        <v>62</v>
      </c>
      <c r="E22" s="9" t="s">
        <v>63</v>
      </c>
    </row>
    <row r="25" customFormat="false" ht="15" hidden="false" customHeight="false" outlineLevel="0" collapsed="false">
      <c r="A25" s="4" t="s">
        <v>64</v>
      </c>
      <c r="B25" s="5"/>
      <c r="C25" s="5"/>
      <c r="D25" s="5"/>
      <c r="E25" s="5"/>
    </row>
    <row r="26" customFormat="false" ht="15" hidden="false" customHeight="false" outlineLevel="0" collapsed="false">
      <c r="A26" s="6" t="s">
        <v>4</v>
      </c>
      <c r="B26" s="6" t="s">
        <v>65</v>
      </c>
      <c r="C26" s="6" t="s">
        <v>66</v>
      </c>
      <c r="D26" s="6" t="s">
        <v>67</v>
      </c>
      <c r="E26" s="6" t="s">
        <v>68</v>
      </c>
    </row>
    <row r="27" customFormat="false" ht="15" hidden="false" customHeight="false" outlineLevel="0" collapsed="false">
      <c r="A27" s="7" t="s">
        <v>69</v>
      </c>
      <c r="B27" s="14" t="n">
        <v>40</v>
      </c>
      <c r="C27" s="14" t="n">
        <v>100</v>
      </c>
      <c r="D27" s="14" t="n">
        <v>200</v>
      </c>
      <c r="E27" s="7" t="s">
        <v>70</v>
      </c>
    </row>
    <row r="28" customFormat="false" ht="15" hidden="false" customHeight="false" outlineLevel="0" collapsed="false">
      <c r="A28" s="7" t="s">
        <v>71</v>
      </c>
      <c r="B28" s="11" t="n">
        <v>8</v>
      </c>
      <c r="C28" s="11" t="n">
        <v>6</v>
      </c>
      <c r="D28" s="11" t="n">
        <v>5</v>
      </c>
      <c r="E28" s="7" t="s">
        <v>72</v>
      </c>
    </row>
    <row r="30" customFormat="false" ht="15" hidden="false" customHeight="false" outlineLevel="0" collapsed="false">
      <c r="A30" s="4" t="s">
        <v>73</v>
      </c>
      <c r="B30" s="5"/>
      <c r="C30" s="5"/>
      <c r="D30" s="5"/>
      <c r="E30" s="5"/>
    </row>
    <row r="31" customFormat="false" ht="15" hidden="false" customHeight="false" outlineLevel="0" collapsed="false">
      <c r="A31" s="6" t="s">
        <v>4</v>
      </c>
      <c r="B31" s="6" t="s">
        <v>5</v>
      </c>
      <c r="C31" s="6" t="s">
        <v>6</v>
      </c>
      <c r="D31" s="6" t="s">
        <v>68</v>
      </c>
      <c r="E31" s="6" t="s">
        <v>8</v>
      </c>
    </row>
    <row r="32" customFormat="false" ht="15" hidden="false" customHeight="false" outlineLevel="0" collapsed="false">
      <c r="A32" s="7" t="s">
        <v>74</v>
      </c>
      <c r="B32" s="8" t="n">
        <v>0.15</v>
      </c>
      <c r="C32" s="7" t="s">
        <v>25</v>
      </c>
      <c r="D32" s="7" t="s">
        <v>75</v>
      </c>
      <c r="E32" s="9" t="s">
        <v>76</v>
      </c>
    </row>
    <row r="33" customFormat="false" ht="15" hidden="false" customHeight="false" outlineLevel="0" collapsed="false">
      <c r="A33" s="7" t="s">
        <v>77</v>
      </c>
      <c r="B33" s="11" t="n">
        <v>15</v>
      </c>
      <c r="C33" s="7" t="s">
        <v>18</v>
      </c>
      <c r="D33" s="7" t="s">
        <v>75</v>
      </c>
      <c r="E33" s="9" t="s">
        <v>78</v>
      </c>
    </row>
    <row r="35" customFormat="false" ht="15" hidden="false" customHeight="false" outlineLevel="0" collapsed="false">
      <c r="A35" s="4" t="s">
        <v>79</v>
      </c>
      <c r="B35" s="5"/>
      <c r="C35" s="5"/>
      <c r="D35" s="5"/>
      <c r="E35" s="5"/>
    </row>
    <row r="36" customFormat="false" ht="15" hidden="false" customHeight="false" outlineLevel="0" collapsed="false">
      <c r="A36" s="6" t="s">
        <v>4</v>
      </c>
      <c r="B36" s="6" t="s">
        <v>5</v>
      </c>
      <c r="C36" s="6" t="s">
        <v>6</v>
      </c>
      <c r="D36" s="6" t="s">
        <v>7</v>
      </c>
      <c r="E36" s="6" t="s">
        <v>8</v>
      </c>
    </row>
    <row r="37" customFormat="false" ht="15" hidden="false" customHeight="false" outlineLevel="0" collapsed="false">
      <c r="A37" s="7" t="s">
        <v>80</v>
      </c>
      <c r="B37" s="14" t="n">
        <v>14</v>
      </c>
      <c r="C37" s="7" t="s">
        <v>42</v>
      </c>
      <c r="D37" s="16" t="s">
        <v>81</v>
      </c>
      <c r="E37" s="9" t="s">
        <v>82</v>
      </c>
    </row>
    <row r="38" customFormat="false" ht="15" hidden="false" customHeight="false" outlineLevel="0" collapsed="false">
      <c r="A38" s="7" t="s">
        <v>83</v>
      </c>
      <c r="B38" s="14" t="n">
        <v>30</v>
      </c>
      <c r="C38" s="7" t="s">
        <v>42</v>
      </c>
      <c r="D38" s="16" t="s">
        <v>84</v>
      </c>
      <c r="E38" s="9" t="s">
        <v>85</v>
      </c>
    </row>
    <row r="39" customFormat="false" ht="15" hidden="false" customHeight="false" outlineLevel="0" collapsed="false">
      <c r="A39" s="7" t="s">
        <v>86</v>
      </c>
      <c r="B39" s="14" t="n">
        <v>0</v>
      </c>
      <c r="C39" s="7" t="s">
        <v>42</v>
      </c>
      <c r="D39" s="16" t="s">
        <v>87</v>
      </c>
      <c r="E39" s="9" t="s">
        <v>88</v>
      </c>
    </row>
    <row r="40" customFormat="false" ht="15" hidden="false" customHeight="false" outlineLevel="0" collapsed="false">
      <c r="A40" s="7" t="s">
        <v>89</v>
      </c>
      <c r="B40" s="14" t="n">
        <v>7</v>
      </c>
      <c r="C40" s="7" t="s">
        <v>42</v>
      </c>
      <c r="D40" s="16" t="s">
        <v>90</v>
      </c>
      <c r="E40" s="9" t="s">
        <v>91</v>
      </c>
    </row>
    <row r="42" customFormat="false" ht="15" hidden="false" customHeight="false" outlineLevel="0" collapsed="false">
      <c r="A42" s="4" t="s">
        <v>92</v>
      </c>
      <c r="B42" s="5"/>
      <c r="C42" s="5"/>
      <c r="D42" s="5"/>
      <c r="E42" s="5"/>
    </row>
    <row r="43" customFormat="false" ht="15" hidden="false" customHeight="false" outlineLevel="0" collapsed="false">
      <c r="A43" s="6" t="s">
        <v>4</v>
      </c>
      <c r="B43" s="6" t="s">
        <v>5</v>
      </c>
      <c r="C43" s="6" t="s">
        <v>6</v>
      </c>
      <c r="D43" s="6" t="s">
        <v>7</v>
      </c>
      <c r="E43" s="6" t="s">
        <v>8</v>
      </c>
    </row>
    <row r="44" customFormat="false" ht="15" hidden="false" customHeight="false" outlineLevel="0" collapsed="false">
      <c r="A44" s="7" t="s">
        <v>93</v>
      </c>
      <c r="B44" s="13" t="n">
        <f aca="false">'Budget initial'!B12</f>
        <v>8000</v>
      </c>
      <c r="C44" s="7" t="s">
        <v>18</v>
      </c>
      <c r="D44" s="16" t="s">
        <v>94</v>
      </c>
      <c r="E44" s="9" t="s">
        <v>95</v>
      </c>
    </row>
    <row r="45" customFormat="false" ht="15" hidden="false" customHeight="false" outlineLevel="0" collapsed="false">
      <c r="A45" s="7" t="s">
        <v>96</v>
      </c>
      <c r="B45" s="8" t="n">
        <v>0.2</v>
      </c>
      <c r="C45" s="7" t="s">
        <v>97</v>
      </c>
      <c r="D45" s="7" t="s">
        <v>98</v>
      </c>
      <c r="E45" s="9" t="s">
        <v>99</v>
      </c>
    </row>
    <row r="46" customFormat="false" ht="15" hidden="false" customHeight="false" outlineLevel="0" collapsed="false">
      <c r="A46" s="7" t="s">
        <v>100</v>
      </c>
      <c r="B46" s="17" t="n">
        <f aca="false">Capital_engage*StopLoss_global_pct</f>
        <v>1600</v>
      </c>
      <c r="C46" s="7" t="s">
        <v>18</v>
      </c>
      <c r="D46" s="7" t="s">
        <v>101</v>
      </c>
      <c r="E46" s="9" t="s">
        <v>102</v>
      </c>
    </row>
    <row r="47" customFormat="false" ht="15" hidden="false" customHeight="false" outlineLevel="0" collapsed="false">
      <c r="A47" s="7" t="s">
        <v>103</v>
      </c>
      <c r="B47" s="13" t="n">
        <f aca="false">'Budget initial'!B11</f>
        <v>1600</v>
      </c>
      <c r="C47" s="7" t="s">
        <v>18</v>
      </c>
      <c r="D47" s="7" t="s">
        <v>104</v>
      </c>
      <c r="E47" s="9" t="s">
        <v>105</v>
      </c>
    </row>
    <row r="48" customFormat="false" ht="15" hidden="false" customHeight="false" outlineLevel="0" collapsed="false">
      <c r="A48" s="7" t="s">
        <v>106</v>
      </c>
      <c r="B48" s="14" t="n">
        <v>5</v>
      </c>
      <c r="C48" s="7" t="s">
        <v>107</v>
      </c>
      <c r="D48" s="7" t="s">
        <v>108</v>
      </c>
      <c r="E48" s="9" t="s">
        <v>109</v>
      </c>
    </row>
    <row r="49" customFormat="false" ht="15" hidden="false" customHeight="false" outlineLevel="0" collapsed="false">
      <c r="A49" s="7" t="s">
        <v>110</v>
      </c>
      <c r="B49" s="14" t="n">
        <v>2</v>
      </c>
      <c r="C49" s="7" t="s">
        <v>111</v>
      </c>
      <c r="D49" s="7" t="s">
        <v>112</v>
      </c>
      <c r="E49" s="9" t="s">
        <v>113</v>
      </c>
    </row>
    <row r="50" customFormat="false" ht="15" hidden="false" customHeight="false" outlineLevel="0" collapsed="false">
      <c r="A50" s="7" t="s">
        <v>114</v>
      </c>
      <c r="B50" s="8" t="n">
        <v>0.025</v>
      </c>
      <c r="C50" s="7" t="s">
        <v>115</v>
      </c>
      <c r="D50" s="7" t="s">
        <v>116</v>
      </c>
      <c r="E50" s="9" t="s">
        <v>117</v>
      </c>
    </row>
    <row r="51" customFormat="false" ht="15" hidden="false" customHeight="false" outlineLevel="0" collapsed="false">
      <c r="A51" s="7" t="s">
        <v>118</v>
      </c>
      <c r="B51" s="11" t="n">
        <v>0.3</v>
      </c>
      <c r="C51" s="7" t="s">
        <v>119</v>
      </c>
      <c r="D51" s="7" t="s">
        <v>116</v>
      </c>
      <c r="E51" s="9" t="s">
        <v>120</v>
      </c>
    </row>
    <row r="52" customFormat="false" ht="15" hidden="false" customHeight="false" outlineLevel="0" collapsed="false">
      <c r="A52" s="7" t="s">
        <v>121</v>
      </c>
      <c r="B52" s="11" t="n">
        <v>1</v>
      </c>
      <c r="C52" s="7" t="s">
        <v>119</v>
      </c>
      <c r="D52" s="7" t="s">
        <v>122</v>
      </c>
      <c r="E52" s="9" t="s">
        <v>123</v>
      </c>
    </row>
    <row r="53" customFormat="false" ht="15" hidden="false" customHeight="false" outlineLevel="0" collapsed="false">
      <c r="A53" s="7" t="s">
        <v>124</v>
      </c>
      <c r="B53" s="14" t="n">
        <v>60</v>
      </c>
      <c r="C53" s="7" t="s">
        <v>42</v>
      </c>
      <c r="D53" s="7" t="s">
        <v>125</v>
      </c>
      <c r="E53" s="9" t="s">
        <v>126</v>
      </c>
    </row>
    <row r="54" customFormat="false" ht="15" hidden="false" customHeight="false" outlineLevel="0" collapsed="false">
      <c r="A54" s="7" t="s">
        <v>127</v>
      </c>
      <c r="B54" s="14" t="n">
        <v>30</v>
      </c>
      <c r="C54" s="7" t="s">
        <v>128</v>
      </c>
      <c r="D54" s="7" t="s">
        <v>129</v>
      </c>
      <c r="E54" s="9" t="s">
        <v>130</v>
      </c>
    </row>
  </sheetData>
  <mergeCells count="1">
    <mergeCell ref="A3:E3"/>
  </mergeCells>
  <dataValidations count="1">
    <dataValidation allowBlank="false" error="1 = prudent, 2 = central, 3 = développement" errorStyle="stop" errorTitle="Scénario" operator="between" showDropDown="false" showErrorMessage="true" showInputMessage="false" sqref="B49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0" topLeftCell="B41" activePane="bottomRight" state="frozen"/>
      <selection pane="topLeft" activeCell="A1" activeCellId="0" sqref="A1"/>
      <selection pane="topRight" activeCell="B1" activeCellId="0" sqref="B1"/>
      <selection pane="bottomLeft" activeCell="A41" activeCellId="0" sqref="A4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2" min="2" style="0" width="12.5"/>
    <col collapsed="false" customWidth="true" hidden="false" outlineLevel="0" max="23" min="23" style="0" width="15"/>
    <col collapsed="false" customWidth="true" hidden="false" outlineLevel="0" max="24" min="24" style="0" width="12.5"/>
    <col collapsed="false" customWidth="true" hidden="false" outlineLevel="0" max="25" min="25" style="0" width="17"/>
    <col collapsed="false" customWidth="true" hidden="false" outlineLevel="0" max="29" min="26" style="0" width="8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3" customFormat="false" ht="25.5" hidden="false" customHeight="true" outlineLevel="0" collapsed="false">
      <c r="A3" s="3" t="s">
        <v>133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5" customFormat="false" ht="15" hidden="false" customHeight="false" outlineLevel="0" collapsed="false">
      <c r="A5" s="4" t="s">
        <v>134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Format="false" ht="15" hidden="false" customHeight="false" outlineLevel="0" collapsed="false">
      <c r="A6" s="18" t="s">
        <v>135</v>
      </c>
      <c r="B6" s="18"/>
      <c r="C6" s="18"/>
      <c r="D6" s="18"/>
      <c r="E6" s="19" t="str">
        <f aca="false">CHOOSE(Scenario_choisi,"Prudent","Central","Développement")</f>
        <v>Central</v>
      </c>
      <c r="F6" s="20" t="s">
        <v>136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customFormat="false" ht="15" hidden="false" customHeight="false" outlineLevel="0" collapsed="false">
      <c r="A7" s="18" t="s">
        <v>137</v>
      </c>
      <c r="B7" s="18"/>
      <c r="C7" s="18"/>
      <c r="D7" s="18"/>
      <c r="E7" s="21" t="n">
        <f aca="false">INDEX(Hypothèses!$B$27:$D$27,Scenario_choisi)</f>
        <v>100</v>
      </c>
      <c r="F7" s="20" t="s">
        <v>138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customFormat="false" ht="15" hidden="false" customHeight="false" outlineLevel="0" collapsed="false">
      <c r="A8" s="18" t="s">
        <v>139</v>
      </c>
      <c r="B8" s="18"/>
      <c r="C8" s="18"/>
      <c r="D8" s="18"/>
      <c r="E8" s="22" t="n">
        <f aca="false">INDEX(Hypothèses!$B$28:$D$28,Scenario_choisi)</f>
        <v>6</v>
      </c>
      <c r="F8" s="20" t="s">
        <v>75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customFormat="false" ht="15" hidden="false" customHeight="false" outlineLevel="0" collapsed="false">
      <c r="A9" s="18" t="s">
        <v>140</v>
      </c>
      <c r="B9" s="18"/>
      <c r="C9" s="18"/>
      <c r="D9" s="18"/>
      <c r="E9" s="23" t="n">
        <f aca="false">E7*12/52</f>
        <v>23.0769230769231</v>
      </c>
      <c r="F9" s="20" t="s">
        <v>141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customFormat="false" ht="15" hidden="false" customHeight="false" outlineLevel="0" collapsed="false">
      <c r="A10" s="18" t="s">
        <v>106</v>
      </c>
      <c r="B10" s="18"/>
      <c r="C10" s="18"/>
      <c r="D10" s="18"/>
      <c r="E10" s="21" t="n">
        <f aca="false">Semaine_ouverture</f>
        <v>5</v>
      </c>
      <c r="F10" s="20" t="s">
        <v>142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customFormat="false" ht="15" hidden="false" customHeight="false" outlineLevel="0" collapsed="false">
      <c r="A11" s="18" t="s">
        <v>143</v>
      </c>
      <c r="B11" s="18"/>
      <c r="C11" s="18"/>
      <c r="D11" s="18"/>
      <c r="E11" s="22" t="n">
        <f aca="false">Charges_fixes*12/52</f>
        <v>92.3076923076923</v>
      </c>
      <c r="F11" s="20" t="s">
        <v>144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customFormat="false" ht="15" hidden="false" customHeight="false" outlineLevel="0" collapsed="false">
      <c r="A12" s="18" t="s">
        <v>145</v>
      </c>
      <c r="B12" s="18"/>
      <c r="C12" s="18"/>
      <c r="D12" s="18"/>
      <c r="E12" s="22" t="n">
        <f aca="false">Panier_HT*(1-Taux_contribution-Cout_produit_pct)-(Frais_paiement_pct*Panier_TTC+Frais_paiement_fixe)-Provision_SAV</f>
        <v>3.35552728954672</v>
      </c>
      <c r="F12" s="20" t="s">
        <v>146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4" t="str">
        <f aca="false">IF(E12&lt;0,"INCOHÉRENT : hypothèses incompatibles","OK — cohérent")</f>
        <v>OK — cohérent</v>
      </c>
    </row>
    <row r="13" customFormat="false" ht="15" hidden="false" customHeight="false" outlineLevel="0" collapsed="false">
      <c r="A13" s="18" t="s">
        <v>147</v>
      </c>
      <c r="B13" s="18"/>
      <c r="C13" s="18"/>
      <c r="D13" s="18"/>
      <c r="E13" s="25" t="n">
        <f aca="false">-Perte_max</f>
        <v>-1600</v>
      </c>
      <c r="F13" s="20" t="s">
        <v>148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customFormat="false" ht="15" hidden="false" customHeight="false" outlineLevel="0" collapsed="false">
      <c r="A14" s="18" t="s">
        <v>103</v>
      </c>
      <c r="B14" s="18"/>
      <c r="C14" s="18"/>
      <c r="D14" s="18"/>
      <c r="E14" s="26" t="n">
        <f aca="false">Reserve_cash</f>
        <v>1600</v>
      </c>
      <c r="F14" s="20" t="s">
        <v>149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6" customFormat="false" ht="15" hidden="false" customHeight="false" outlineLevel="0" collapsed="false">
      <c r="A16" s="4" t="s">
        <v>150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customFormat="false" ht="15" hidden="false" customHeight="true" outlineLevel="0" collapsed="false">
      <c r="A17" s="27" t="s">
        <v>151</v>
      </c>
      <c r="B17" s="27"/>
      <c r="C17" s="27"/>
      <c r="D17" s="27"/>
      <c r="E17" s="6" t="s">
        <v>152</v>
      </c>
      <c r="F17" s="6" t="s">
        <v>153</v>
      </c>
      <c r="G17" s="27" t="s">
        <v>154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customFormat="false" ht="15" hidden="false" customHeight="false" outlineLevel="0" collapsed="false">
      <c r="A18" s="28" t="s">
        <v>155</v>
      </c>
      <c r="B18" s="28"/>
      <c r="C18" s="28"/>
      <c r="D18" s="28"/>
      <c r="E18" s="29" t="n">
        <f aca="false">L92</f>
        <v>9969.91389738845</v>
      </c>
      <c r="F18" s="29" t="str">
        <f aca="false">IF(COUNT($V$41:$V$92)=0,"pas de saisie",SUM($V$41:$V$92))</f>
        <v>pas de saisie</v>
      </c>
      <c r="G18" s="30" t="s">
        <v>156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customFormat="false" ht="15" hidden="false" customHeight="false" outlineLevel="0" collapsed="false">
      <c r="A19" s="18" t="s">
        <v>157</v>
      </c>
      <c r="B19" s="18"/>
      <c r="C19" s="18"/>
      <c r="D19" s="18"/>
      <c r="E19" s="21" t="n">
        <f aca="false">COUNT($K$41:$K$92)</f>
        <v>52</v>
      </c>
      <c r="F19" s="21" t="n">
        <f aca="false">COUNT($V$41:$V$92)</f>
        <v>0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customFormat="false" ht="15" hidden="false" customHeight="false" outlineLevel="0" collapsed="false">
      <c r="A20" s="18" t="s">
        <v>158</v>
      </c>
      <c r="B20" s="18"/>
      <c r="C20" s="18"/>
      <c r="D20" s="18"/>
      <c r="E20" s="25" t="n">
        <f aca="false">MIN($L$41:$L$92)</f>
        <v>-369.230769230769</v>
      </c>
      <c r="F20" s="25" t="str">
        <f aca="false">IF(COUNT($V$41:$V$92)=0,"",MIN($W$41:$W$92))</f>
        <v/>
      </c>
      <c r="G20" s="30" t="s">
        <v>159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customFormat="false" ht="15" hidden="false" customHeight="false" outlineLevel="0" collapsed="false">
      <c r="A21" s="18" t="s">
        <v>160</v>
      </c>
      <c r="B21" s="18"/>
      <c r="C21" s="18"/>
      <c r="D21" s="18"/>
      <c r="E21" s="21" t="n">
        <f aca="false">INDEX($A$41:$A$92,MATCH(E20,$L$41:$L$92,0))</f>
        <v>4</v>
      </c>
      <c r="F21" s="21" t="str">
        <f aca="false">IF(COUNT($V$41:$V$92)=0,"",INDEX($A$41:$A$92,MATCH(F20,$W$41:$W$92,0)))</f>
        <v/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</row>
    <row r="22" customFormat="false" ht="15" hidden="false" customHeight="false" outlineLevel="0" collapsed="false">
      <c r="A22" s="18" t="s">
        <v>161</v>
      </c>
      <c r="B22" s="18"/>
      <c r="C22" s="18"/>
      <c r="D22" s="18"/>
      <c r="E22" s="21" t="n">
        <f aca="false">IF(MIN($Z$41:$Z$92)=0,"au-delà de 52 sem.",MIN($Z$41:$Z$92))</f>
        <v>6</v>
      </c>
      <c r="F22" s="21" t="str">
        <f aca="false">IF(COUNT($V$41:$V$92)=0,"",IF(MIN($AB$41:$AB$92)=0,"pas encore",MIN($AB$41:$AB$92)))</f>
        <v/>
      </c>
      <c r="G22" s="30" t="s">
        <v>162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</row>
    <row r="23" customFormat="false" ht="15" hidden="false" customHeight="false" outlineLevel="0" collapsed="false">
      <c r="A23" s="18" t="s">
        <v>163</v>
      </c>
      <c r="B23" s="18"/>
      <c r="C23" s="18"/>
      <c r="D23" s="18"/>
      <c r="E23" s="19" t="str">
        <f aca="false">IF(MIN($AA$41:$AA$92)=0,"non","OUI — semaine "&amp;MIN($AA$41:$AA$92))</f>
        <v>non</v>
      </c>
      <c r="F23" s="19" t="str">
        <f aca="false">IF(COUNT($V$41:$V$92)=0,"",IF(MIN($AC$41:$AC$92)=0,"non","OUI — semaine "&amp;MIN($AC$41:$AC$92)&amp;" : TOUT GELER"))</f>
        <v/>
      </c>
      <c r="G23" s="30" t="s">
        <v>164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</row>
    <row r="24" customFormat="false" ht="15" hidden="false" customHeight="false" outlineLevel="0" collapsed="false">
      <c r="A24" s="18" t="s">
        <v>165</v>
      </c>
      <c r="B24" s="18"/>
      <c r="C24" s="18"/>
      <c r="D24" s="18"/>
      <c r="E24" s="22" t="n">
        <f aca="false">K92*52/12</f>
        <v>933.395004625346</v>
      </c>
      <c r="F24" s="22" t="str">
        <f aca="false">""</f>
        <v/>
      </c>
      <c r="G24" s="30" t="str">
        <f aca="false">IF(ROUND(E24-INDEX(Scénarios!$B$15:$D$15,Scenario_choisi),6)=0,"OK — égal au résultat avant rémunération du scénario (feuille Scénarios)","ÉCART")</f>
        <v>OK — égal au résultat avant rémunération du scénario (feuille Scénarios)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</row>
    <row r="25" customFormat="false" ht="15" hidden="false" customHeight="false" outlineLevel="0" collapsed="false">
      <c r="A25" s="18" t="s">
        <v>166</v>
      </c>
      <c r="B25" s="18"/>
      <c r="C25" s="18"/>
      <c r="D25" s="18"/>
      <c r="E25" s="31" t="n">
        <f aca="false">SUMIFS($B$41:$B$92,$A$41:$A$92,"&gt;="&amp;Semaine_ouverture,$A$41:$A$92,"&lt;="&amp;Semaine_ouverture+INT(Jours_validation/7)-1)</f>
        <v>184.615384615385</v>
      </c>
      <c r="F25" s="31" t="str">
        <f aca="false">IF(COUNT($V$41:$V$92)=0,"",SUMIFS($M$41:$M$92,$A$41:$A$92,"&gt;="&amp;Semaine_ouverture,$A$41:$A$92,"&lt;="&amp;Semaine_ouverture+INT(Jours_validation/7)-1))</f>
        <v/>
      </c>
      <c r="G25" s="30" t="str">
        <f aca="false">"Semaines "&amp;Semaine_ouverture&amp;" à "&amp;(Semaine_ouverture+INT(Jours_validation/7)-1)&amp;" ("&amp;INT(Jours_validation/7)*7&amp;" jours pleins ≈ 60 j du BP) ; cible : "&amp;Commandes_validation&amp;" commandes"</f>
        <v>Semaines 5 à 12 (56 jours pleins ≈ 60 j du BP) ; cible : 30 commandes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customFormat="false" ht="15" hidden="false" customHeight="false" outlineLevel="0" collapsed="false">
      <c r="A26" s="18" t="s">
        <v>167</v>
      </c>
      <c r="B26" s="18"/>
      <c r="C26" s="18"/>
      <c r="D26" s="18"/>
      <c r="E26" s="19" t="str">
        <f aca="false">IF(E25&gt;=Commandes_validation,"oui","NON")</f>
        <v>oui</v>
      </c>
      <c r="F26" s="19" t="str">
        <f aca="false">IF(F25="","",IF(F25&gt;=Commandes_validation,"oui","NON"))</f>
        <v/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customFormat="false" ht="15" hidden="false" customHeight="false" outlineLevel="0" collapsed="false">
      <c r="A27" s="18" t="s">
        <v>168</v>
      </c>
      <c r="B27" s="18"/>
      <c r="C27" s="18"/>
      <c r="D27" s="18"/>
      <c r="E27" s="25" t="n">
        <f aca="false">SUMIFS($I$41:$I$92,$A$41:$A$92,"&gt;="&amp;Semaine_ouverture,$A$41:$A$92,"&lt;="&amp;Semaine_ouverture+INT(Jours_validation/7)-1)</f>
        <v>2461.65231623141</v>
      </c>
      <c r="F27" s="25" t="str">
        <f aca="false">IF(COUNT($V$41:$V$92)=0,"",SUMIFS($U$41:$U$92,$A$41:$A$92,"&gt;="&amp;Semaine_ouverture,$A$41:$A$92,"&lt;="&amp;Semaine_ouverture+INT(Jours_validation/7)-1))</f>
        <v/>
      </c>
      <c r="G27" s="30" t="s">
        <v>169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</row>
    <row r="28" customFormat="false" ht="15" hidden="false" customHeight="false" outlineLevel="0" collapsed="false">
      <c r="A28" s="18" t="s">
        <v>170</v>
      </c>
      <c r="B28" s="18"/>
      <c r="C28" s="18"/>
      <c r="D28" s="18"/>
      <c r="E28" s="19" t="str">
        <f aca="false">IF(E27&gt;0,"oui","NON")</f>
        <v>oui</v>
      </c>
      <c r="F28" s="19" t="str">
        <f aca="false">IF(F27="","",IF(F27&gt;0,"oui","NON"))</f>
        <v/>
      </c>
      <c r="G28" s="30" t="s">
        <v>171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</row>
    <row r="30" customFormat="false" ht="15" hidden="false" customHeight="false" outlineLevel="0" collapsed="false">
      <c r="A30" s="4" t="s">
        <v>172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Format="false" ht="15" hidden="false" customHeight="true" outlineLevel="0" collapsed="false">
      <c r="A31" s="27" t="s">
        <v>173</v>
      </c>
      <c r="B31" s="27"/>
      <c r="C31" s="27" t="s">
        <v>174</v>
      </c>
      <c r="D31" s="27"/>
      <c r="E31" s="27"/>
      <c r="F31" s="27"/>
      <c r="G31" s="27"/>
      <c r="H31" s="27" t="s">
        <v>175</v>
      </c>
      <c r="I31" s="27"/>
      <c r="J31" s="27" t="s">
        <v>176</v>
      </c>
      <c r="K31" s="27"/>
      <c r="L31" s="27"/>
      <c r="M31" s="27"/>
      <c r="N31" s="27"/>
      <c r="O31" s="27"/>
      <c r="P31" s="27" t="s">
        <v>177</v>
      </c>
      <c r="Q31" s="27"/>
      <c r="R31" s="27"/>
      <c r="S31" s="27"/>
      <c r="T31" s="27"/>
      <c r="U31" s="27"/>
    </row>
    <row r="32" customFormat="false" ht="15" hidden="false" customHeight="false" outlineLevel="0" collapsed="false">
      <c r="A32" s="28" t="s">
        <v>178</v>
      </c>
      <c r="B32" s="28"/>
      <c r="C32" s="18" t="s">
        <v>179</v>
      </c>
      <c r="D32" s="18"/>
      <c r="E32" s="18"/>
      <c r="F32" s="18"/>
      <c r="G32" s="18"/>
      <c r="H32" s="32" t="str">
        <f aca="false">TEXT(Plancher_pct,"0%")&amp;" / "&amp;TEXT(Plancher_CHF,"0")&amp;" CHF"</f>
        <v>12% / 8 CHF</v>
      </c>
      <c r="I32" s="32"/>
      <c r="J32" s="18" t="s">
        <v>180</v>
      </c>
      <c r="K32" s="18"/>
      <c r="L32" s="18"/>
      <c r="M32" s="18"/>
      <c r="N32" s="18"/>
      <c r="O32" s="18"/>
      <c r="P32" s="30" t="s">
        <v>181</v>
      </c>
      <c r="Q32" s="30"/>
      <c r="R32" s="30"/>
      <c r="S32" s="30"/>
      <c r="T32" s="30"/>
      <c r="U32" s="30"/>
    </row>
    <row r="33" customFormat="false" ht="15" hidden="false" customHeight="false" outlineLevel="0" collapsed="false">
      <c r="A33" s="28" t="s">
        <v>182</v>
      </c>
      <c r="B33" s="28"/>
      <c r="C33" s="18" t="s">
        <v>183</v>
      </c>
      <c r="D33" s="18"/>
      <c r="E33" s="18"/>
      <c r="F33" s="18"/>
      <c r="G33" s="18"/>
      <c r="H33" s="33" t="n">
        <f aca="false">'Budget initial'!C26</f>
        <v>750</v>
      </c>
      <c r="I33" s="33"/>
      <c r="J33" s="18" t="s">
        <v>184</v>
      </c>
      <c r="K33" s="18"/>
      <c r="L33" s="18"/>
      <c r="M33" s="18"/>
      <c r="N33" s="18"/>
      <c r="O33" s="18"/>
      <c r="P33" s="30" t="s">
        <v>185</v>
      </c>
      <c r="Q33" s="30"/>
      <c r="R33" s="30"/>
      <c r="S33" s="30"/>
      <c r="T33" s="30"/>
      <c r="U33" s="30"/>
    </row>
    <row r="34" customFormat="false" ht="15" hidden="false" customHeight="false" outlineLevel="0" collapsed="false">
      <c r="A34" s="28" t="s">
        <v>186</v>
      </c>
      <c r="B34" s="28"/>
      <c r="C34" s="18" t="s">
        <v>187</v>
      </c>
      <c r="D34" s="18"/>
      <c r="E34" s="18"/>
      <c r="F34" s="18"/>
      <c r="G34" s="18"/>
      <c r="H34" s="34" t="n">
        <f aca="false">INDEX(Scénarios!$B$18:$D$18,Scenario_choisi)</f>
        <v>19.3339500462535</v>
      </c>
      <c r="I34" s="34"/>
      <c r="J34" s="18" t="s">
        <v>188</v>
      </c>
      <c r="K34" s="18"/>
      <c r="L34" s="18"/>
      <c r="M34" s="18"/>
      <c r="N34" s="18"/>
      <c r="O34" s="18"/>
      <c r="P34" s="30" t="s">
        <v>189</v>
      </c>
      <c r="Q34" s="30"/>
      <c r="R34" s="30"/>
      <c r="S34" s="30"/>
      <c r="T34" s="30"/>
      <c r="U34" s="30"/>
    </row>
    <row r="35" customFormat="false" ht="15" hidden="false" customHeight="false" outlineLevel="0" collapsed="false">
      <c r="A35" s="28" t="s">
        <v>190</v>
      </c>
      <c r="B35" s="28"/>
      <c r="C35" s="18" t="s">
        <v>191</v>
      </c>
      <c r="D35" s="18"/>
      <c r="E35" s="18"/>
      <c r="F35" s="18"/>
      <c r="G35" s="18"/>
      <c r="H35" s="33" t="n">
        <f aca="false">Reserve_cash</f>
        <v>1600</v>
      </c>
      <c r="I35" s="33"/>
      <c r="J35" s="18" t="s">
        <v>192</v>
      </c>
      <c r="K35" s="18"/>
      <c r="L35" s="18"/>
      <c r="M35" s="18"/>
      <c r="N35" s="18"/>
      <c r="O35" s="18"/>
      <c r="P35" s="30" t="s">
        <v>193</v>
      </c>
      <c r="Q35" s="30"/>
      <c r="R35" s="30"/>
      <c r="S35" s="30"/>
      <c r="T35" s="30"/>
      <c r="U35" s="30"/>
    </row>
    <row r="36" customFormat="false" ht="15" hidden="false" customHeight="false" outlineLevel="0" collapsed="false">
      <c r="A36" s="28" t="s">
        <v>194</v>
      </c>
      <c r="B36" s="28"/>
      <c r="C36" s="18" t="s">
        <v>195</v>
      </c>
      <c r="D36" s="18"/>
      <c r="E36" s="18"/>
      <c r="F36" s="18"/>
      <c r="G36" s="18"/>
      <c r="H36" s="35" t="n">
        <f aca="false">-Perte_max</f>
        <v>-1600</v>
      </c>
      <c r="I36" s="35"/>
      <c r="J36" s="18" t="s">
        <v>196</v>
      </c>
      <c r="K36" s="18"/>
      <c r="L36" s="18"/>
      <c r="M36" s="18"/>
      <c r="N36" s="18"/>
      <c r="O36" s="18"/>
      <c r="P36" s="30" t="s">
        <v>197</v>
      </c>
      <c r="Q36" s="30"/>
      <c r="R36" s="30"/>
      <c r="S36" s="30"/>
      <c r="T36" s="30"/>
      <c r="U36" s="30"/>
    </row>
    <row r="37" customFormat="false" ht="15" hidden="false" customHeight="false" outlineLevel="0" collapsed="false">
      <c r="A37" s="28" t="s">
        <v>198</v>
      </c>
      <c r="B37" s="28"/>
      <c r="C37" s="18" t="s">
        <v>199</v>
      </c>
      <c r="D37" s="18"/>
      <c r="E37" s="18"/>
      <c r="F37" s="18"/>
      <c r="G37" s="18"/>
      <c r="H37" s="32" t="str">
        <f aca="false">Jours_validation&amp;" jours"</f>
        <v>60 jours</v>
      </c>
      <c r="I37" s="32"/>
      <c r="J37" s="18" t="s">
        <v>200</v>
      </c>
      <c r="K37" s="18"/>
      <c r="L37" s="18"/>
      <c r="M37" s="18"/>
      <c r="N37" s="18"/>
      <c r="O37" s="18"/>
      <c r="P37" s="30" t="s">
        <v>201</v>
      </c>
      <c r="Q37" s="30"/>
      <c r="R37" s="30"/>
      <c r="S37" s="30"/>
      <c r="T37" s="30"/>
      <c r="U37" s="30"/>
    </row>
    <row r="39" customFormat="false" ht="15" hidden="false" customHeight="true" outlineLevel="0" collapsed="false">
      <c r="B39" s="27" t="str">
        <f aca="false">"PROJECTION — scénario "&amp;E6&amp;" (formules, ne pas saisir)"</f>
        <v>PROJECTION — scénario Central (formules, ne pas saisir)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36" t="s">
        <v>202</v>
      </c>
      <c r="N39" s="36"/>
      <c r="O39" s="36"/>
      <c r="P39" s="36"/>
      <c r="Q39" s="36"/>
      <c r="R39" s="36"/>
      <c r="S39" s="36"/>
      <c r="T39" s="36"/>
      <c r="U39" s="27" t="s">
        <v>203</v>
      </c>
      <c r="V39" s="27"/>
      <c r="W39" s="27"/>
      <c r="X39" s="27"/>
      <c r="Y39" s="27"/>
      <c r="Z39" s="37" t="s">
        <v>204</v>
      </c>
      <c r="AA39" s="37"/>
      <c r="AB39" s="37"/>
      <c r="AC39" s="37"/>
    </row>
    <row r="40" customFormat="false" ht="42" hidden="false" customHeight="true" outlineLevel="0" collapsed="false">
      <c r="A40" s="6" t="s">
        <v>205</v>
      </c>
      <c r="B40" s="6" t="s">
        <v>206</v>
      </c>
      <c r="C40" s="6" t="s">
        <v>207</v>
      </c>
      <c r="D40" s="6" t="s">
        <v>208</v>
      </c>
      <c r="E40" s="6" t="s">
        <v>209</v>
      </c>
      <c r="F40" s="6" t="s">
        <v>210</v>
      </c>
      <c r="G40" s="6" t="s">
        <v>211</v>
      </c>
      <c r="H40" s="6" t="s">
        <v>212</v>
      </c>
      <c r="I40" s="6" t="s">
        <v>213</v>
      </c>
      <c r="J40" s="6" t="s">
        <v>214</v>
      </c>
      <c r="K40" s="6" t="s">
        <v>215</v>
      </c>
      <c r="L40" s="6" t="s">
        <v>216</v>
      </c>
      <c r="M40" s="6" t="s">
        <v>217</v>
      </c>
      <c r="N40" s="6" t="s">
        <v>207</v>
      </c>
      <c r="O40" s="6" t="s">
        <v>208</v>
      </c>
      <c r="P40" s="6" t="s">
        <v>209</v>
      </c>
      <c r="Q40" s="6" t="s">
        <v>210</v>
      </c>
      <c r="R40" s="6" t="s">
        <v>211</v>
      </c>
      <c r="S40" s="6" t="s">
        <v>212</v>
      </c>
      <c r="T40" s="6" t="s">
        <v>214</v>
      </c>
      <c r="U40" s="6" t="s">
        <v>213</v>
      </c>
      <c r="V40" s="6" t="s">
        <v>215</v>
      </c>
      <c r="W40" s="6" t="s">
        <v>218</v>
      </c>
      <c r="X40" s="6" t="s">
        <v>219</v>
      </c>
      <c r="Y40" s="6" t="s">
        <v>220</v>
      </c>
      <c r="Z40" s="38" t="s">
        <v>221</v>
      </c>
      <c r="AA40" s="38" t="s">
        <v>222</v>
      </c>
      <c r="AB40" s="38" t="s">
        <v>223</v>
      </c>
      <c r="AC40" s="38" t="s">
        <v>224</v>
      </c>
    </row>
    <row r="41" customFormat="false" ht="15" hidden="false" customHeight="false" outlineLevel="0" collapsed="false">
      <c r="A41" s="39" t="n">
        <v>1</v>
      </c>
      <c r="B41" s="15" t="n">
        <f aca="false">IF(A41&gt;=Semaine_ouverture,$E$9,0)</f>
        <v>0</v>
      </c>
      <c r="C41" s="12" t="n">
        <f aca="false">B41*Panier_HT</f>
        <v>0</v>
      </c>
      <c r="D41" s="12" t="n">
        <f aca="false">C41*Cout_produit_pct</f>
        <v>0</v>
      </c>
      <c r="E41" s="12" t="n">
        <f aca="false">B41*(Frais_paiement_pct*Panier_TTC+Frais_paiement_fixe)</f>
        <v>0</v>
      </c>
      <c r="F41" s="12" t="n">
        <f aca="false">B41*$E$12</f>
        <v>0</v>
      </c>
      <c r="G41" s="12" t="n">
        <f aca="false">B41*Provision_SAV</f>
        <v>0</v>
      </c>
      <c r="H41" s="12" t="n">
        <f aca="false">B41*$E$8</f>
        <v>0</v>
      </c>
      <c r="I41" s="40" t="n">
        <f aca="false">C41-D41-E41-F41-G41-H41</f>
        <v>0</v>
      </c>
      <c r="J41" s="12" t="n">
        <f aca="false">$E$11</f>
        <v>92.3076923076923</v>
      </c>
      <c r="K41" s="40" t="n">
        <f aca="false">I41-J41</f>
        <v>-92.3076923076923</v>
      </c>
      <c r="L41" s="25" t="n">
        <f aca="false">SUM($K$41:K41)</f>
        <v>-92.3076923076923</v>
      </c>
      <c r="M41" s="14"/>
      <c r="N41" s="11"/>
      <c r="O41" s="11"/>
      <c r="P41" s="11"/>
      <c r="Q41" s="11"/>
      <c r="R41" s="11"/>
      <c r="S41" s="11"/>
      <c r="T41" s="11"/>
      <c r="U41" s="40" t="str">
        <f aca="false">IF(COUNT(M41:T41)=0,"",N41-O41-P41-Q41-R41-S41)</f>
        <v/>
      </c>
      <c r="V41" s="40" t="str">
        <f aca="false">IF(COUNT(M41:T41)=0,"",U41-T41)</f>
        <v/>
      </c>
      <c r="W41" s="29" t="str">
        <f aca="false">IF(V41="","",SUM($V$41:V41))</f>
        <v/>
      </c>
      <c r="X41" s="40" t="str">
        <f aca="false">IF(W41="","",W41-L41)</f>
        <v/>
      </c>
      <c r="Y41" s="41" t="str">
        <f aca="false">IF(W41="","",IF(MIN($W$41:W41)&lt;=-Perte_max,"GEL GLOBAL",IF(V41&lt;0,"semaine négative","OK")))</f>
        <v/>
      </c>
      <c r="Z41" s="42" t="str">
        <f aca="false">IF(AND(A41&gt;$E$21,L41&gt;0),A41,"")</f>
        <v/>
      </c>
      <c r="AA41" s="42" t="str">
        <f aca="false">IF(L41&lt;=-Perte_max,A41,"")</f>
        <v/>
      </c>
      <c r="AB41" s="42" t="str">
        <f aca="false">IF(W41="","",IF(AND(A41&gt;$F$21,W41&gt;0),A41,""))</f>
        <v/>
      </c>
      <c r="AC41" s="42" t="str">
        <f aca="false">IF(W41="","",IF(W41&lt;=-Perte_max,A41,""))</f>
        <v/>
      </c>
    </row>
    <row r="42" customFormat="false" ht="15" hidden="false" customHeight="false" outlineLevel="0" collapsed="false">
      <c r="A42" s="39" t="n">
        <v>2</v>
      </c>
      <c r="B42" s="15" t="n">
        <f aca="false">IF(A42&gt;=Semaine_ouverture,$E$9,0)</f>
        <v>0</v>
      </c>
      <c r="C42" s="12" t="n">
        <f aca="false">B42*Panier_HT</f>
        <v>0</v>
      </c>
      <c r="D42" s="12" t="n">
        <f aca="false">C42*Cout_produit_pct</f>
        <v>0</v>
      </c>
      <c r="E42" s="12" t="n">
        <f aca="false">B42*(Frais_paiement_pct*Panier_TTC+Frais_paiement_fixe)</f>
        <v>0</v>
      </c>
      <c r="F42" s="12" t="n">
        <f aca="false">B42*$E$12</f>
        <v>0</v>
      </c>
      <c r="G42" s="12" t="n">
        <f aca="false">B42*Provision_SAV</f>
        <v>0</v>
      </c>
      <c r="H42" s="12" t="n">
        <f aca="false">B42*$E$8</f>
        <v>0</v>
      </c>
      <c r="I42" s="40" t="n">
        <f aca="false">C42-D42-E42-F42-G42-H42</f>
        <v>0</v>
      </c>
      <c r="J42" s="12" t="n">
        <f aca="false">$E$11</f>
        <v>92.3076923076923</v>
      </c>
      <c r="K42" s="40" t="n">
        <f aca="false">I42-J42</f>
        <v>-92.3076923076923</v>
      </c>
      <c r="L42" s="25" t="n">
        <f aca="false">SUM($K$41:K42)</f>
        <v>-184.615384615385</v>
      </c>
      <c r="M42" s="14"/>
      <c r="N42" s="11"/>
      <c r="O42" s="11"/>
      <c r="P42" s="11"/>
      <c r="Q42" s="11"/>
      <c r="R42" s="11"/>
      <c r="S42" s="11"/>
      <c r="T42" s="11"/>
      <c r="U42" s="40" t="str">
        <f aca="false">IF(COUNT(M42:T42)=0,"",N42-O42-P42-Q42-R42-S42)</f>
        <v/>
      </c>
      <c r="V42" s="40" t="str">
        <f aca="false">IF(COUNT(M42:T42)=0,"",U42-T42)</f>
        <v/>
      </c>
      <c r="W42" s="29" t="str">
        <f aca="false">IF(V42="","",SUM($V$41:V42))</f>
        <v/>
      </c>
      <c r="X42" s="40" t="str">
        <f aca="false">IF(W42="","",W42-L42)</f>
        <v/>
      </c>
      <c r="Y42" s="41" t="str">
        <f aca="false">IF(W42="","",IF(MIN($W$41:W42)&lt;=-Perte_max,"GEL GLOBAL",IF(V42&lt;0,"semaine négative","OK")))</f>
        <v/>
      </c>
      <c r="Z42" s="42" t="str">
        <f aca="false">IF(AND(A42&gt;$E$21,L42&gt;0),A42,"")</f>
        <v/>
      </c>
      <c r="AA42" s="42" t="str">
        <f aca="false">IF(L42&lt;=-Perte_max,A42,"")</f>
        <v/>
      </c>
      <c r="AB42" s="42" t="str">
        <f aca="false">IF(W42="","",IF(AND(A42&gt;$F$21,W42&gt;0),A42,""))</f>
        <v/>
      </c>
      <c r="AC42" s="42" t="str">
        <f aca="false">IF(W42="","",IF(W42&lt;=-Perte_max,A42,""))</f>
        <v/>
      </c>
    </row>
    <row r="43" customFormat="false" ht="15" hidden="false" customHeight="false" outlineLevel="0" collapsed="false">
      <c r="A43" s="39" t="n">
        <v>3</v>
      </c>
      <c r="B43" s="15" t="n">
        <f aca="false">IF(A43&gt;=Semaine_ouverture,$E$9,0)</f>
        <v>0</v>
      </c>
      <c r="C43" s="12" t="n">
        <f aca="false">B43*Panier_HT</f>
        <v>0</v>
      </c>
      <c r="D43" s="12" t="n">
        <f aca="false">C43*Cout_produit_pct</f>
        <v>0</v>
      </c>
      <c r="E43" s="12" t="n">
        <f aca="false">B43*(Frais_paiement_pct*Panier_TTC+Frais_paiement_fixe)</f>
        <v>0</v>
      </c>
      <c r="F43" s="12" t="n">
        <f aca="false">B43*$E$12</f>
        <v>0</v>
      </c>
      <c r="G43" s="12" t="n">
        <f aca="false">B43*Provision_SAV</f>
        <v>0</v>
      </c>
      <c r="H43" s="12" t="n">
        <f aca="false">B43*$E$8</f>
        <v>0</v>
      </c>
      <c r="I43" s="40" t="n">
        <f aca="false">C43-D43-E43-F43-G43-H43</f>
        <v>0</v>
      </c>
      <c r="J43" s="12" t="n">
        <f aca="false">$E$11</f>
        <v>92.3076923076923</v>
      </c>
      <c r="K43" s="40" t="n">
        <f aca="false">I43-J43</f>
        <v>-92.3076923076923</v>
      </c>
      <c r="L43" s="25" t="n">
        <f aca="false">SUM($K$41:K43)</f>
        <v>-276.923076923077</v>
      </c>
      <c r="M43" s="14"/>
      <c r="N43" s="11"/>
      <c r="O43" s="11"/>
      <c r="P43" s="11"/>
      <c r="Q43" s="11"/>
      <c r="R43" s="11"/>
      <c r="S43" s="11"/>
      <c r="T43" s="11"/>
      <c r="U43" s="40" t="str">
        <f aca="false">IF(COUNT(M43:T43)=0,"",N43-O43-P43-Q43-R43-S43)</f>
        <v/>
      </c>
      <c r="V43" s="40" t="str">
        <f aca="false">IF(COUNT(M43:T43)=0,"",U43-T43)</f>
        <v/>
      </c>
      <c r="W43" s="29" t="str">
        <f aca="false">IF(V43="","",SUM($V$41:V43))</f>
        <v/>
      </c>
      <c r="X43" s="40" t="str">
        <f aca="false">IF(W43="","",W43-L43)</f>
        <v/>
      </c>
      <c r="Y43" s="41" t="str">
        <f aca="false">IF(W43="","",IF(MIN($W$41:W43)&lt;=-Perte_max,"GEL GLOBAL",IF(V43&lt;0,"semaine négative","OK")))</f>
        <v/>
      </c>
      <c r="Z43" s="42" t="str">
        <f aca="false">IF(AND(A43&gt;$E$21,L43&gt;0),A43,"")</f>
        <v/>
      </c>
      <c r="AA43" s="42" t="str">
        <f aca="false">IF(L43&lt;=-Perte_max,A43,"")</f>
        <v/>
      </c>
      <c r="AB43" s="42" t="str">
        <f aca="false">IF(W43="","",IF(AND(A43&gt;$F$21,W43&gt;0),A43,""))</f>
        <v/>
      </c>
      <c r="AC43" s="42" t="str">
        <f aca="false">IF(W43="","",IF(W43&lt;=-Perte_max,A43,""))</f>
        <v/>
      </c>
    </row>
    <row r="44" customFormat="false" ht="15" hidden="false" customHeight="false" outlineLevel="0" collapsed="false">
      <c r="A44" s="39" t="n">
        <v>4</v>
      </c>
      <c r="B44" s="15" t="n">
        <f aca="false">IF(A44&gt;=Semaine_ouverture,$E$9,0)</f>
        <v>0</v>
      </c>
      <c r="C44" s="12" t="n">
        <f aca="false">B44*Panier_HT</f>
        <v>0</v>
      </c>
      <c r="D44" s="12" t="n">
        <f aca="false">C44*Cout_produit_pct</f>
        <v>0</v>
      </c>
      <c r="E44" s="12" t="n">
        <f aca="false">B44*(Frais_paiement_pct*Panier_TTC+Frais_paiement_fixe)</f>
        <v>0</v>
      </c>
      <c r="F44" s="12" t="n">
        <f aca="false">B44*$E$12</f>
        <v>0</v>
      </c>
      <c r="G44" s="12" t="n">
        <f aca="false">B44*Provision_SAV</f>
        <v>0</v>
      </c>
      <c r="H44" s="12" t="n">
        <f aca="false">B44*$E$8</f>
        <v>0</v>
      </c>
      <c r="I44" s="40" t="n">
        <f aca="false">C44-D44-E44-F44-G44-H44</f>
        <v>0</v>
      </c>
      <c r="J44" s="12" t="n">
        <f aca="false">$E$11</f>
        <v>92.3076923076923</v>
      </c>
      <c r="K44" s="40" t="n">
        <f aca="false">I44-J44</f>
        <v>-92.3076923076923</v>
      </c>
      <c r="L44" s="25" t="n">
        <f aca="false">SUM($K$41:K44)</f>
        <v>-369.230769230769</v>
      </c>
      <c r="M44" s="14"/>
      <c r="N44" s="11"/>
      <c r="O44" s="11"/>
      <c r="P44" s="11"/>
      <c r="Q44" s="11"/>
      <c r="R44" s="11"/>
      <c r="S44" s="11"/>
      <c r="T44" s="11"/>
      <c r="U44" s="40" t="str">
        <f aca="false">IF(COUNT(M44:T44)=0,"",N44-O44-P44-Q44-R44-S44)</f>
        <v/>
      </c>
      <c r="V44" s="40" t="str">
        <f aca="false">IF(COUNT(M44:T44)=0,"",U44-T44)</f>
        <v/>
      </c>
      <c r="W44" s="29" t="str">
        <f aca="false">IF(V44="","",SUM($V$41:V44))</f>
        <v/>
      </c>
      <c r="X44" s="40" t="str">
        <f aca="false">IF(W44="","",W44-L44)</f>
        <v/>
      </c>
      <c r="Y44" s="41" t="str">
        <f aca="false">IF(W44="","",IF(MIN($W$41:W44)&lt;=-Perte_max,"GEL GLOBAL",IF(V44&lt;0,"semaine négative","OK")))</f>
        <v/>
      </c>
      <c r="Z44" s="42" t="str">
        <f aca="false">IF(AND(A44&gt;$E$21,L44&gt;0),A44,"")</f>
        <v/>
      </c>
      <c r="AA44" s="42" t="str">
        <f aca="false">IF(L44&lt;=-Perte_max,A44,"")</f>
        <v/>
      </c>
      <c r="AB44" s="42" t="str">
        <f aca="false">IF(W44="","",IF(AND(A44&gt;$F$21,W44&gt;0),A44,""))</f>
        <v/>
      </c>
      <c r="AC44" s="42" t="str">
        <f aca="false">IF(W44="","",IF(W44&lt;=-Perte_max,A44,""))</f>
        <v/>
      </c>
    </row>
    <row r="45" customFormat="false" ht="15" hidden="false" customHeight="false" outlineLevel="0" collapsed="false">
      <c r="A45" s="39" t="n">
        <v>5</v>
      </c>
      <c r="B45" s="15" t="n">
        <f aca="false">IF(A45&gt;=Semaine_ouverture,$E$9,0)</f>
        <v>23.0769230769231</v>
      </c>
      <c r="C45" s="12" t="n">
        <f aca="false">B45*Panier_HT</f>
        <v>2028.03671813848</v>
      </c>
      <c r="D45" s="12" t="n">
        <f aca="false">C45*Cout_produit_pct</f>
        <v>1419.62570269693</v>
      </c>
      <c r="E45" s="12" t="n">
        <f aca="false">B45*(Frais_paiement_pct*Panier_TTC+Frais_paiement_fixe)</f>
        <v>61.7307692307692</v>
      </c>
      <c r="F45" s="12" t="n">
        <f aca="false">B45*$E$12</f>
        <v>77.4352451433859</v>
      </c>
      <c r="G45" s="12" t="n">
        <f aca="false">B45*Provision_SAV</f>
        <v>23.0769230769231</v>
      </c>
      <c r="H45" s="12" t="n">
        <f aca="false">B45*$E$8</f>
        <v>138.461538461538</v>
      </c>
      <c r="I45" s="40" t="n">
        <f aca="false">C45-D45-E45-F45-G45-H45</f>
        <v>307.706539528926</v>
      </c>
      <c r="J45" s="12" t="n">
        <f aca="false">$E$11</f>
        <v>92.3076923076923</v>
      </c>
      <c r="K45" s="40" t="n">
        <f aca="false">I45-J45</f>
        <v>215.398847221234</v>
      </c>
      <c r="L45" s="25" t="n">
        <f aca="false">SUM($K$41:K45)</f>
        <v>-153.831922009536</v>
      </c>
      <c r="M45" s="14"/>
      <c r="N45" s="11"/>
      <c r="O45" s="11"/>
      <c r="P45" s="11"/>
      <c r="Q45" s="11"/>
      <c r="R45" s="11"/>
      <c r="S45" s="11"/>
      <c r="T45" s="11"/>
      <c r="U45" s="40" t="str">
        <f aca="false">IF(COUNT(M45:T45)=0,"",N45-O45-P45-Q45-R45-S45)</f>
        <v/>
      </c>
      <c r="V45" s="40" t="str">
        <f aca="false">IF(COUNT(M45:T45)=0,"",U45-T45)</f>
        <v/>
      </c>
      <c r="W45" s="29" t="str">
        <f aca="false">IF(V45="","",SUM($V$41:V45))</f>
        <v/>
      </c>
      <c r="X45" s="40" t="str">
        <f aca="false">IF(W45="","",W45-L45)</f>
        <v/>
      </c>
      <c r="Y45" s="41" t="str">
        <f aca="false">IF(W45="","",IF(MIN($W$41:W45)&lt;=-Perte_max,"GEL GLOBAL",IF(V45&lt;0,"semaine négative","OK")))</f>
        <v/>
      </c>
      <c r="Z45" s="42" t="str">
        <f aca="false">IF(AND(A45&gt;$E$21,L45&gt;0),A45,"")</f>
        <v/>
      </c>
      <c r="AA45" s="42" t="str">
        <f aca="false">IF(L45&lt;=-Perte_max,A45,"")</f>
        <v/>
      </c>
      <c r="AB45" s="42" t="str">
        <f aca="false">IF(W45="","",IF(AND(A45&gt;$F$21,W45&gt;0),A45,""))</f>
        <v/>
      </c>
      <c r="AC45" s="42" t="str">
        <f aca="false">IF(W45="","",IF(W45&lt;=-Perte_max,A45,""))</f>
        <v/>
      </c>
    </row>
    <row r="46" customFormat="false" ht="15" hidden="false" customHeight="false" outlineLevel="0" collapsed="false">
      <c r="A46" s="39" t="n">
        <v>6</v>
      </c>
      <c r="B46" s="15" t="n">
        <f aca="false">IF(A46&gt;=Semaine_ouverture,$E$9,0)</f>
        <v>23.0769230769231</v>
      </c>
      <c r="C46" s="12" t="n">
        <f aca="false">B46*Panier_HT</f>
        <v>2028.03671813848</v>
      </c>
      <c r="D46" s="12" t="n">
        <f aca="false">C46*Cout_produit_pct</f>
        <v>1419.62570269693</v>
      </c>
      <c r="E46" s="12" t="n">
        <f aca="false">B46*(Frais_paiement_pct*Panier_TTC+Frais_paiement_fixe)</f>
        <v>61.7307692307692</v>
      </c>
      <c r="F46" s="12" t="n">
        <f aca="false">B46*$E$12</f>
        <v>77.4352451433859</v>
      </c>
      <c r="G46" s="12" t="n">
        <f aca="false">B46*Provision_SAV</f>
        <v>23.0769230769231</v>
      </c>
      <c r="H46" s="12" t="n">
        <f aca="false">B46*$E$8</f>
        <v>138.461538461538</v>
      </c>
      <c r="I46" s="40" t="n">
        <f aca="false">C46-D46-E46-F46-G46-H46</f>
        <v>307.706539528926</v>
      </c>
      <c r="J46" s="12" t="n">
        <f aca="false">$E$11</f>
        <v>92.3076923076923</v>
      </c>
      <c r="K46" s="40" t="n">
        <f aca="false">I46-J46</f>
        <v>215.398847221234</v>
      </c>
      <c r="L46" s="25" t="n">
        <f aca="false">SUM($K$41:K46)</f>
        <v>61.5669252116982</v>
      </c>
      <c r="M46" s="14"/>
      <c r="N46" s="11"/>
      <c r="O46" s="11"/>
      <c r="P46" s="11"/>
      <c r="Q46" s="11"/>
      <c r="R46" s="11"/>
      <c r="S46" s="11"/>
      <c r="T46" s="11"/>
      <c r="U46" s="40" t="str">
        <f aca="false">IF(COUNT(M46:T46)=0,"",N46-O46-P46-Q46-R46-S46)</f>
        <v/>
      </c>
      <c r="V46" s="40" t="str">
        <f aca="false">IF(COUNT(M46:T46)=0,"",U46-T46)</f>
        <v/>
      </c>
      <c r="W46" s="29" t="str">
        <f aca="false">IF(V46="","",SUM($V$41:V46))</f>
        <v/>
      </c>
      <c r="X46" s="40" t="str">
        <f aca="false">IF(W46="","",W46-L46)</f>
        <v/>
      </c>
      <c r="Y46" s="41" t="str">
        <f aca="false">IF(W46="","",IF(MIN($W$41:W46)&lt;=-Perte_max,"GEL GLOBAL",IF(V46&lt;0,"semaine négative","OK")))</f>
        <v/>
      </c>
      <c r="Z46" s="42" t="n">
        <f aca="false">IF(AND(A46&gt;$E$21,L46&gt;0),A46,"")</f>
        <v>6</v>
      </c>
      <c r="AA46" s="42" t="str">
        <f aca="false">IF(L46&lt;=-Perte_max,A46,"")</f>
        <v/>
      </c>
      <c r="AB46" s="42" t="str">
        <f aca="false">IF(W46="","",IF(AND(A46&gt;$F$21,W46&gt;0),A46,""))</f>
        <v/>
      </c>
      <c r="AC46" s="42" t="str">
        <f aca="false">IF(W46="","",IF(W46&lt;=-Perte_max,A46,""))</f>
        <v/>
      </c>
    </row>
    <row r="47" customFormat="false" ht="15" hidden="false" customHeight="false" outlineLevel="0" collapsed="false">
      <c r="A47" s="39" t="n">
        <v>7</v>
      </c>
      <c r="B47" s="15" t="n">
        <f aca="false">IF(A47&gt;=Semaine_ouverture,$E$9,0)</f>
        <v>23.0769230769231</v>
      </c>
      <c r="C47" s="12" t="n">
        <f aca="false">B47*Panier_HT</f>
        <v>2028.03671813848</v>
      </c>
      <c r="D47" s="12" t="n">
        <f aca="false">C47*Cout_produit_pct</f>
        <v>1419.62570269693</v>
      </c>
      <c r="E47" s="12" t="n">
        <f aca="false">B47*(Frais_paiement_pct*Panier_TTC+Frais_paiement_fixe)</f>
        <v>61.7307692307692</v>
      </c>
      <c r="F47" s="12" t="n">
        <f aca="false">B47*$E$12</f>
        <v>77.4352451433859</v>
      </c>
      <c r="G47" s="12" t="n">
        <f aca="false">B47*Provision_SAV</f>
        <v>23.0769230769231</v>
      </c>
      <c r="H47" s="12" t="n">
        <f aca="false">B47*$E$8</f>
        <v>138.461538461538</v>
      </c>
      <c r="I47" s="40" t="n">
        <f aca="false">C47-D47-E47-F47-G47-H47</f>
        <v>307.706539528926</v>
      </c>
      <c r="J47" s="12" t="n">
        <f aca="false">$E$11</f>
        <v>92.3076923076923</v>
      </c>
      <c r="K47" s="40" t="n">
        <f aca="false">I47-J47</f>
        <v>215.398847221234</v>
      </c>
      <c r="L47" s="25" t="n">
        <f aca="false">SUM($K$41:K47)</f>
        <v>276.965772432932</v>
      </c>
      <c r="M47" s="14"/>
      <c r="N47" s="11"/>
      <c r="O47" s="11"/>
      <c r="P47" s="11"/>
      <c r="Q47" s="11"/>
      <c r="R47" s="11"/>
      <c r="S47" s="11"/>
      <c r="T47" s="11"/>
      <c r="U47" s="40" t="str">
        <f aca="false">IF(COUNT(M47:T47)=0,"",N47-O47-P47-Q47-R47-S47)</f>
        <v/>
      </c>
      <c r="V47" s="40" t="str">
        <f aca="false">IF(COUNT(M47:T47)=0,"",U47-T47)</f>
        <v/>
      </c>
      <c r="W47" s="29" t="str">
        <f aca="false">IF(V47="","",SUM($V$41:V47))</f>
        <v/>
      </c>
      <c r="X47" s="40" t="str">
        <f aca="false">IF(W47="","",W47-L47)</f>
        <v/>
      </c>
      <c r="Y47" s="41" t="str">
        <f aca="false">IF(W47="","",IF(MIN($W$41:W47)&lt;=-Perte_max,"GEL GLOBAL",IF(V47&lt;0,"semaine négative","OK")))</f>
        <v/>
      </c>
      <c r="Z47" s="42" t="n">
        <f aca="false">IF(AND(A47&gt;$E$21,L47&gt;0),A47,"")</f>
        <v>7</v>
      </c>
      <c r="AA47" s="42" t="str">
        <f aca="false">IF(L47&lt;=-Perte_max,A47,"")</f>
        <v/>
      </c>
      <c r="AB47" s="42" t="str">
        <f aca="false">IF(W47="","",IF(AND(A47&gt;$F$21,W47&gt;0),A47,""))</f>
        <v/>
      </c>
      <c r="AC47" s="42" t="str">
        <f aca="false">IF(W47="","",IF(W47&lt;=-Perte_max,A47,""))</f>
        <v/>
      </c>
    </row>
    <row r="48" customFormat="false" ht="15" hidden="false" customHeight="false" outlineLevel="0" collapsed="false">
      <c r="A48" s="39" t="n">
        <v>8</v>
      </c>
      <c r="B48" s="15" t="n">
        <f aca="false">IF(A48&gt;=Semaine_ouverture,$E$9,0)</f>
        <v>23.0769230769231</v>
      </c>
      <c r="C48" s="12" t="n">
        <f aca="false">B48*Panier_HT</f>
        <v>2028.03671813848</v>
      </c>
      <c r="D48" s="12" t="n">
        <f aca="false">C48*Cout_produit_pct</f>
        <v>1419.62570269693</v>
      </c>
      <c r="E48" s="12" t="n">
        <f aca="false">B48*(Frais_paiement_pct*Panier_TTC+Frais_paiement_fixe)</f>
        <v>61.7307692307692</v>
      </c>
      <c r="F48" s="12" t="n">
        <f aca="false">B48*$E$12</f>
        <v>77.4352451433859</v>
      </c>
      <c r="G48" s="12" t="n">
        <f aca="false">B48*Provision_SAV</f>
        <v>23.0769230769231</v>
      </c>
      <c r="H48" s="12" t="n">
        <f aca="false">B48*$E$8</f>
        <v>138.461538461538</v>
      </c>
      <c r="I48" s="40" t="n">
        <f aca="false">C48-D48-E48-F48-G48-H48</f>
        <v>307.706539528926</v>
      </c>
      <c r="J48" s="12" t="n">
        <f aca="false">$E$11</f>
        <v>92.3076923076923</v>
      </c>
      <c r="K48" s="40" t="n">
        <f aca="false">I48-J48</f>
        <v>215.398847221234</v>
      </c>
      <c r="L48" s="25" t="n">
        <f aca="false">SUM($K$41:K48)</f>
        <v>492.364619654166</v>
      </c>
      <c r="M48" s="14"/>
      <c r="N48" s="11"/>
      <c r="O48" s="11"/>
      <c r="P48" s="11"/>
      <c r="Q48" s="11"/>
      <c r="R48" s="11"/>
      <c r="S48" s="11"/>
      <c r="T48" s="11"/>
      <c r="U48" s="40" t="str">
        <f aca="false">IF(COUNT(M48:T48)=0,"",N48-O48-P48-Q48-R48-S48)</f>
        <v/>
      </c>
      <c r="V48" s="40" t="str">
        <f aca="false">IF(COUNT(M48:T48)=0,"",U48-T48)</f>
        <v/>
      </c>
      <c r="W48" s="29" t="str">
        <f aca="false">IF(V48="","",SUM($V$41:V48))</f>
        <v/>
      </c>
      <c r="X48" s="40" t="str">
        <f aca="false">IF(W48="","",W48-L48)</f>
        <v/>
      </c>
      <c r="Y48" s="41" t="str">
        <f aca="false">IF(W48="","",IF(MIN($W$41:W48)&lt;=-Perte_max,"GEL GLOBAL",IF(V48&lt;0,"semaine négative","OK")))</f>
        <v/>
      </c>
      <c r="Z48" s="42" t="n">
        <f aca="false">IF(AND(A48&gt;$E$21,L48&gt;0),A48,"")</f>
        <v>8</v>
      </c>
      <c r="AA48" s="42" t="str">
        <f aca="false">IF(L48&lt;=-Perte_max,A48,"")</f>
        <v/>
      </c>
      <c r="AB48" s="42" t="str">
        <f aca="false">IF(W48="","",IF(AND(A48&gt;$F$21,W48&gt;0),A48,""))</f>
        <v/>
      </c>
      <c r="AC48" s="42" t="str">
        <f aca="false">IF(W48="","",IF(W48&lt;=-Perte_max,A48,""))</f>
        <v/>
      </c>
    </row>
    <row r="49" customFormat="false" ht="15" hidden="false" customHeight="false" outlineLevel="0" collapsed="false">
      <c r="A49" s="39" t="n">
        <v>9</v>
      </c>
      <c r="B49" s="15" t="n">
        <f aca="false">IF(A49&gt;=Semaine_ouverture,$E$9,0)</f>
        <v>23.0769230769231</v>
      </c>
      <c r="C49" s="12" t="n">
        <f aca="false">B49*Panier_HT</f>
        <v>2028.03671813848</v>
      </c>
      <c r="D49" s="12" t="n">
        <f aca="false">C49*Cout_produit_pct</f>
        <v>1419.62570269693</v>
      </c>
      <c r="E49" s="12" t="n">
        <f aca="false">B49*(Frais_paiement_pct*Panier_TTC+Frais_paiement_fixe)</f>
        <v>61.7307692307692</v>
      </c>
      <c r="F49" s="12" t="n">
        <f aca="false">B49*$E$12</f>
        <v>77.4352451433859</v>
      </c>
      <c r="G49" s="12" t="n">
        <f aca="false">B49*Provision_SAV</f>
        <v>23.0769230769231</v>
      </c>
      <c r="H49" s="12" t="n">
        <f aca="false">B49*$E$8</f>
        <v>138.461538461538</v>
      </c>
      <c r="I49" s="40" t="n">
        <f aca="false">C49-D49-E49-F49-G49-H49</f>
        <v>307.706539528926</v>
      </c>
      <c r="J49" s="12" t="n">
        <f aca="false">$E$11</f>
        <v>92.3076923076923</v>
      </c>
      <c r="K49" s="40" t="n">
        <f aca="false">I49-J49</f>
        <v>215.398847221234</v>
      </c>
      <c r="L49" s="25" t="n">
        <f aca="false">SUM($K$41:K49)</f>
        <v>707.763466875399</v>
      </c>
      <c r="M49" s="14"/>
      <c r="N49" s="11"/>
      <c r="O49" s="11"/>
      <c r="P49" s="11"/>
      <c r="Q49" s="11"/>
      <c r="R49" s="11"/>
      <c r="S49" s="11"/>
      <c r="T49" s="11"/>
      <c r="U49" s="40" t="str">
        <f aca="false">IF(COUNT(M49:T49)=0,"",N49-O49-P49-Q49-R49-S49)</f>
        <v/>
      </c>
      <c r="V49" s="40" t="str">
        <f aca="false">IF(COUNT(M49:T49)=0,"",U49-T49)</f>
        <v/>
      </c>
      <c r="W49" s="29" t="str">
        <f aca="false">IF(V49="","",SUM($V$41:V49))</f>
        <v/>
      </c>
      <c r="X49" s="40" t="str">
        <f aca="false">IF(W49="","",W49-L49)</f>
        <v/>
      </c>
      <c r="Y49" s="41" t="str">
        <f aca="false">IF(W49="","",IF(MIN($W$41:W49)&lt;=-Perte_max,"GEL GLOBAL",IF(V49&lt;0,"semaine négative","OK")))</f>
        <v/>
      </c>
      <c r="Z49" s="42" t="n">
        <f aca="false">IF(AND(A49&gt;$E$21,L49&gt;0),A49,"")</f>
        <v>9</v>
      </c>
      <c r="AA49" s="42" t="str">
        <f aca="false">IF(L49&lt;=-Perte_max,A49,"")</f>
        <v/>
      </c>
      <c r="AB49" s="42" t="str">
        <f aca="false">IF(W49="","",IF(AND(A49&gt;$F$21,W49&gt;0),A49,""))</f>
        <v/>
      </c>
      <c r="AC49" s="42" t="str">
        <f aca="false">IF(W49="","",IF(W49&lt;=-Perte_max,A49,""))</f>
        <v/>
      </c>
    </row>
    <row r="50" customFormat="false" ht="15" hidden="false" customHeight="false" outlineLevel="0" collapsed="false">
      <c r="A50" s="39" t="n">
        <v>10</v>
      </c>
      <c r="B50" s="15" t="n">
        <f aca="false">IF(A50&gt;=Semaine_ouverture,$E$9,0)</f>
        <v>23.0769230769231</v>
      </c>
      <c r="C50" s="12" t="n">
        <f aca="false">B50*Panier_HT</f>
        <v>2028.03671813848</v>
      </c>
      <c r="D50" s="12" t="n">
        <f aca="false">C50*Cout_produit_pct</f>
        <v>1419.62570269693</v>
      </c>
      <c r="E50" s="12" t="n">
        <f aca="false">B50*(Frais_paiement_pct*Panier_TTC+Frais_paiement_fixe)</f>
        <v>61.7307692307692</v>
      </c>
      <c r="F50" s="12" t="n">
        <f aca="false">B50*$E$12</f>
        <v>77.4352451433859</v>
      </c>
      <c r="G50" s="12" t="n">
        <f aca="false">B50*Provision_SAV</f>
        <v>23.0769230769231</v>
      </c>
      <c r="H50" s="12" t="n">
        <f aca="false">B50*$E$8</f>
        <v>138.461538461538</v>
      </c>
      <c r="I50" s="40" t="n">
        <f aca="false">C50-D50-E50-F50-G50-H50</f>
        <v>307.706539528926</v>
      </c>
      <c r="J50" s="12" t="n">
        <f aca="false">$E$11</f>
        <v>92.3076923076923</v>
      </c>
      <c r="K50" s="40" t="n">
        <f aca="false">I50-J50</f>
        <v>215.398847221234</v>
      </c>
      <c r="L50" s="25" t="n">
        <f aca="false">SUM($K$41:K50)</f>
        <v>923.162314096633</v>
      </c>
      <c r="M50" s="14"/>
      <c r="N50" s="11"/>
      <c r="O50" s="11"/>
      <c r="P50" s="11"/>
      <c r="Q50" s="11"/>
      <c r="R50" s="11"/>
      <c r="S50" s="11"/>
      <c r="T50" s="11"/>
      <c r="U50" s="40" t="str">
        <f aca="false">IF(COUNT(M50:T50)=0,"",N50-O50-P50-Q50-R50-S50)</f>
        <v/>
      </c>
      <c r="V50" s="40" t="str">
        <f aca="false">IF(COUNT(M50:T50)=0,"",U50-T50)</f>
        <v/>
      </c>
      <c r="W50" s="29" t="str">
        <f aca="false">IF(V50="","",SUM($V$41:V50))</f>
        <v/>
      </c>
      <c r="X50" s="40" t="str">
        <f aca="false">IF(W50="","",W50-L50)</f>
        <v/>
      </c>
      <c r="Y50" s="41" t="str">
        <f aca="false">IF(W50="","",IF(MIN($W$41:W50)&lt;=-Perte_max,"GEL GLOBAL",IF(V50&lt;0,"semaine négative","OK")))</f>
        <v/>
      </c>
      <c r="Z50" s="42" t="n">
        <f aca="false">IF(AND(A50&gt;$E$21,L50&gt;0),A50,"")</f>
        <v>10</v>
      </c>
      <c r="AA50" s="42" t="str">
        <f aca="false">IF(L50&lt;=-Perte_max,A50,"")</f>
        <v/>
      </c>
      <c r="AB50" s="42" t="str">
        <f aca="false">IF(W50="","",IF(AND(A50&gt;$F$21,W50&gt;0),A50,""))</f>
        <v/>
      </c>
      <c r="AC50" s="42" t="str">
        <f aca="false">IF(W50="","",IF(W50&lt;=-Perte_max,A50,""))</f>
        <v/>
      </c>
    </row>
    <row r="51" customFormat="false" ht="15" hidden="false" customHeight="false" outlineLevel="0" collapsed="false">
      <c r="A51" s="39" t="n">
        <v>11</v>
      </c>
      <c r="B51" s="15" t="n">
        <f aca="false">IF(A51&gt;=Semaine_ouverture,$E$9,0)</f>
        <v>23.0769230769231</v>
      </c>
      <c r="C51" s="12" t="n">
        <f aca="false">B51*Panier_HT</f>
        <v>2028.03671813848</v>
      </c>
      <c r="D51" s="12" t="n">
        <f aca="false">C51*Cout_produit_pct</f>
        <v>1419.62570269693</v>
      </c>
      <c r="E51" s="12" t="n">
        <f aca="false">B51*(Frais_paiement_pct*Panier_TTC+Frais_paiement_fixe)</f>
        <v>61.7307692307692</v>
      </c>
      <c r="F51" s="12" t="n">
        <f aca="false">B51*$E$12</f>
        <v>77.4352451433859</v>
      </c>
      <c r="G51" s="12" t="n">
        <f aca="false">B51*Provision_SAV</f>
        <v>23.0769230769231</v>
      </c>
      <c r="H51" s="12" t="n">
        <f aca="false">B51*$E$8</f>
        <v>138.461538461538</v>
      </c>
      <c r="I51" s="40" t="n">
        <f aca="false">C51-D51-E51-F51-G51-H51</f>
        <v>307.706539528926</v>
      </c>
      <c r="J51" s="12" t="n">
        <f aca="false">$E$11</f>
        <v>92.3076923076923</v>
      </c>
      <c r="K51" s="40" t="n">
        <f aca="false">I51-J51</f>
        <v>215.398847221234</v>
      </c>
      <c r="L51" s="25" t="n">
        <f aca="false">SUM($K$41:K51)</f>
        <v>1138.56116131787</v>
      </c>
      <c r="M51" s="14"/>
      <c r="N51" s="11"/>
      <c r="O51" s="11"/>
      <c r="P51" s="11"/>
      <c r="Q51" s="11"/>
      <c r="R51" s="11"/>
      <c r="S51" s="11"/>
      <c r="T51" s="11"/>
      <c r="U51" s="40" t="str">
        <f aca="false">IF(COUNT(M51:T51)=0,"",N51-O51-P51-Q51-R51-S51)</f>
        <v/>
      </c>
      <c r="V51" s="40" t="str">
        <f aca="false">IF(COUNT(M51:T51)=0,"",U51-T51)</f>
        <v/>
      </c>
      <c r="W51" s="29" t="str">
        <f aca="false">IF(V51="","",SUM($V$41:V51))</f>
        <v/>
      </c>
      <c r="X51" s="40" t="str">
        <f aca="false">IF(W51="","",W51-L51)</f>
        <v/>
      </c>
      <c r="Y51" s="41" t="str">
        <f aca="false">IF(W51="","",IF(MIN($W$41:W51)&lt;=-Perte_max,"GEL GLOBAL",IF(V51&lt;0,"semaine négative","OK")))</f>
        <v/>
      </c>
      <c r="Z51" s="42" t="n">
        <f aca="false">IF(AND(A51&gt;$E$21,L51&gt;0),A51,"")</f>
        <v>11</v>
      </c>
      <c r="AA51" s="42" t="str">
        <f aca="false">IF(L51&lt;=-Perte_max,A51,"")</f>
        <v/>
      </c>
      <c r="AB51" s="42" t="str">
        <f aca="false">IF(W51="","",IF(AND(A51&gt;$F$21,W51&gt;0),A51,""))</f>
        <v/>
      </c>
      <c r="AC51" s="42" t="str">
        <f aca="false">IF(W51="","",IF(W51&lt;=-Perte_max,A51,""))</f>
        <v/>
      </c>
    </row>
    <row r="52" customFormat="false" ht="15" hidden="false" customHeight="false" outlineLevel="0" collapsed="false">
      <c r="A52" s="39" t="n">
        <v>12</v>
      </c>
      <c r="B52" s="15" t="n">
        <f aca="false">IF(A52&gt;=Semaine_ouverture,$E$9,0)</f>
        <v>23.0769230769231</v>
      </c>
      <c r="C52" s="12" t="n">
        <f aca="false">B52*Panier_HT</f>
        <v>2028.03671813848</v>
      </c>
      <c r="D52" s="12" t="n">
        <f aca="false">C52*Cout_produit_pct</f>
        <v>1419.62570269693</v>
      </c>
      <c r="E52" s="12" t="n">
        <f aca="false">B52*(Frais_paiement_pct*Panier_TTC+Frais_paiement_fixe)</f>
        <v>61.7307692307692</v>
      </c>
      <c r="F52" s="12" t="n">
        <f aca="false">B52*$E$12</f>
        <v>77.4352451433859</v>
      </c>
      <c r="G52" s="12" t="n">
        <f aca="false">B52*Provision_SAV</f>
        <v>23.0769230769231</v>
      </c>
      <c r="H52" s="12" t="n">
        <f aca="false">B52*$E$8</f>
        <v>138.461538461538</v>
      </c>
      <c r="I52" s="40" t="n">
        <f aca="false">C52-D52-E52-F52-G52-H52</f>
        <v>307.706539528926</v>
      </c>
      <c r="J52" s="12" t="n">
        <f aca="false">$E$11</f>
        <v>92.3076923076923</v>
      </c>
      <c r="K52" s="40" t="n">
        <f aca="false">I52-J52</f>
        <v>215.398847221234</v>
      </c>
      <c r="L52" s="25" t="n">
        <f aca="false">SUM($K$41:K52)</f>
        <v>1353.9600085391</v>
      </c>
      <c r="M52" s="14"/>
      <c r="N52" s="11"/>
      <c r="O52" s="11"/>
      <c r="P52" s="11"/>
      <c r="Q52" s="11"/>
      <c r="R52" s="11"/>
      <c r="S52" s="11"/>
      <c r="T52" s="11"/>
      <c r="U52" s="40" t="str">
        <f aca="false">IF(COUNT(M52:T52)=0,"",N52-O52-P52-Q52-R52-S52)</f>
        <v/>
      </c>
      <c r="V52" s="40" t="str">
        <f aca="false">IF(COUNT(M52:T52)=0,"",U52-T52)</f>
        <v/>
      </c>
      <c r="W52" s="29" t="str">
        <f aca="false">IF(V52="","",SUM($V$41:V52))</f>
        <v/>
      </c>
      <c r="X52" s="40" t="str">
        <f aca="false">IF(W52="","",W52-L52)</f>
        <v/>
      </c>
      <c r="Y52" s="41" t="str">
        <f aca="false">IF(W52="","",IF(MIN($W$41:W52)&lt;=-Perte_max,"GEL GLOBAL",IF(V52&lt;0,"semaine négative","OK")))</f>
        <v/>
      </c>
      <c r="Z52" s="42" t="n">
        <f aca="false">IF(AND(A52&gt;$E$21,L52&gt;0),A52,"")</f>
        <v>12</v>
      </c>
      <c r="AA52" s="42" t="str">
        <f aca="false">IF(L52&lt;=-Perte_max,A52,"")</f>
        <v/>
      </c>
      <c r="AB52" s="42" t="str">
        <f aca="false">IF(W52="","",IF(AND(A52&gt;$F$21,W52&gt;0),A52,""))</f>
        <v/>
      </c>
      <c r="AC52" s="42" t="str">
        <f aca="false">IF(W52="","",IF(W52&lt;=-Perte_max,A52,""))</f>
        <v/>
      </c>
    </row>
    <row r="53" customFormat="false" ht="15" hidden="false" customHeight="false" outlineLevel="0" collapsed="false">
      <c r="A53" s="39" t="n">
        <v>13</v>
      </c>
      <c r="B53" s="15" t="n">
        <f aca="false">IF(A53&gt;=Semaine_ouverture,$E$9,0)</f>
        <v>23.0769230769231</v>
      </c>
      <c r="C53" s="12" t="n">
        <f aca="false">B53*Panier_HT</f>
        <v>2028.03671813848</v>
      </c>
      <c r="D53" s="12" t="n">
        <f aca="false">C53*Cout_produit_pct</f>
        <v>1419.62570269693</v>
      </c>
      <c r="E53" s="12" t="n">
        <f aca="false">B53*(Frais_paiement_pct*Panier_TTC+Frais_paiement_fixe)</f>
        <v>61.7307692307692</v>
      </c>
      <c r="F53" s="12" t="n">
        <f aca="false">B53*$E$12</f>
        <v>77.4352451433859</v>
      </c>
      <c r="G53" s="12" t="n">
        <f aca="false">B53*Provision_SAV</f>
        <v>23.0769230769231</v>
      </c>
      <c r="H53" s="12" t="n">
        <f aca="false">B53*$E$8</f>
        <v>138.461538461538</v>
      </c>
      <c r="I53" s="40" t="n">
        <f aca="false">C53-D53-E53-F53-G53-H53</f>
        <v>307.706539528926</v>
      </c>
      <c r="J53" s="12" t="n">
        <f aca="false">$E$11</f>
        <v>92.3076923076923</v>
      </c>
      <c r="K53" s="40" t="n">
        <f aca="false">I53-J53</f>
        <v>215.398847221234</v>
      </c>
      <c r="L53" s="25" t="n">
        <f aca="false">SUM($K$41:K53)</f>
        <v>1569.35885576033</v>
      </c>
      <c r="M53" s="14"/>
      <c r="N53" s="11"/>
      <c r="O53" s="11"/>
      <c r="P53" s="11"/>
      <c r="Q53" s="11"/>
      <c r="R53" s="11"/>
      <c r="S53" s="11"/>
      <c r="T53" s="11"/>
      <c r="U53" s="40" t="str">
        <f aca="false">IF(COUNT(M53:T53)=0,"",N53-O53-P53-Q53-R53-S53)</f>
        <v/>
      </c>
      <c r="V53" s="40" t="str">
        <f aca="false">IF(COUNT(M53:T53)=0,"",U53-T53)</f>
        <v/>
      </c>
      <c r="W53" s="29" t="str">
        <f aca="false">IF(V53="","",SUM($V$41:V53))</f>
        <v/>
      </c>
      <c r="X53" s="40" t="str">
        <f aca="false">IF(W53="","",W53-L53)</f>
        <v/>
      </c>
      <c r="Y53" s="41" t="str">
        <f aca="false">IF(W53="","",IF(MIN($W$41:W53)&lt;=-Perte_max,"GEL GLOBAL",IF(V53&lt;0,"semaine négative","OK")))</f>
        <v/>
      </c>
      <c r="Z53" s="42" t="n">
        <f aca="false">IF(AND(A53&gt;$E$21,L53&gt;0),A53,"")</f>
        <v>13</v>
      </c>
      <c r="AA53" s="42" t="str">
        <f aca="false">IF(L53&lt;=-Perte_max,A53,"")</f>
        <v/>
      </c>
      <c r="AB53" s="42" t="str">
        <f aca="false">IF(W53="","",IF(AND(A53&gt;$F$21,W53&gt;0),A53,""))</f>
        <v/>
      </c>
      <c r="AC53" s="42" t="str">
        <f aca="false">IF(W53="","",IF(W53&lt;=-Perte_max,A53,""))</f>
        <v/>
      </c>
    </row>
    <row r="54" customFormat="false" ht="15" hidden="false" customHeight="false" outlineLevel="0" collapsed="false">
      <c r="A54" s="39" t="n">
        <v>14</v>
      </c>
      <c r="B54" s="15" t="n">
        <f aca="false">IF(A54&gt;=Semaine_ouverture,$E$9,0)</f>
        <v>23.0769230769231</v>
      </c>
      <c r="C54" s="12" t="n">
        <f aca="false">B54*Panier_HT</f>
        <v>2028.03671813848</v>
      </c>
      <c r="D54" s="12" t="n">
        <f aca="false">C54*Cout_produit_pct</f>
        <v>1419.62570269693</v>
      </c>
      <c r="E54" s="12" t="n">
        <f aca="false">B54*(Frais_paiement_pct*Panier_TTC+Frais_paiement_fixe)</f>
        <v>61.7307692307692</v>
      </c>
      <c r="F54" s="12" t="n">
        <f aca="false">B54*$E$12</f>
        <v>77.4352451433859</v>
      </c>
      <c r="G54" s="12" t="n">
        <f aca="false">B54*Provision_SAV</f>
        <v>23.0769230769231</v>
      </c>
      <c r="H54" s="12" t="n">
        <f aca="false">B54*$E$8</f>
        <v>138.461538461538</v>
      </c>
      <c r="I54" s="40" t="n">
        <f aca="false">C54-D54-E54-F54-G54-H54</f>
        <v>307.706539528926</v>
      </c>
      <c r="J54" s="12" t="n">
        <f aca="false">$E$11</f>
        <v>92.3076923076923</v>
      </c>
      <c r="K54" s="40" t="n">
        <f aca="false">I54-J54</f>
        <v>215.398847221234</v>
      </c>
      <c r="L54" s="25" t="n">
        <f aca="false">SUM($K$41:K54)</f>
        <v>1784.75770298157</v>
      </c>
      <c r="M54" s="14"/>
      <c r="N54" s="11"/>
      <c r="O54" s="11"/>
      <c r="P54" s="11"/>
      <c r="Q54" s="11"/>
      <c r="R54" s="11"/>
      <c r="S54" s="11"/>
      <c r="T54" s="11"/>
      <c r="U54" s="40" t="str">
        <f aca="false">IF(COUNT(M54:T54)=0,"",N54-O54-P54-Q54-R54-S54)</f>
        <v/>
      </c>
      <c r="V54" s="40" t="str">
        <f aca="false">IF(COUNT(M54:T54)=0,"",U54-T54)</f>
        <v/>
      </c>
      <c r="W54" s="29" t="str">
        <f aca="false">IF(V54="","",SUM($V$41:V54))</f>
        <v/>
      </c>
      <c r="X54" s="40" t="str">
        <f aca="false">IF(W54="","",W54-L54)</f>
        <v/>
      </c>
      <c r="Y54" s="41" t="str">
        <f aca="false">IF(W54="","",IF(MIN($W$41:W54)&lt;=-Perte_max,"GEL GLOBAL",IF(V54&lt;0,"semaine négative","OK")))</f>
        <v/>
      </c>
      <c r="Z54" s="42" t="n">
        <f aca="false">IF(AND(A54&gt;$E$21,L54&gt;0),A54,"")</f>
        <v>14</v>
      </c>
      <c r="AA54" s="42" t="str">
        <f aca="false">IF(L54&lt;=-Perte_max,A54,"")</f>
        <v/>
      </c>
      <c r="AB54" s="42" t="str">
        <f aca="false">IF(W54="","",IF(AND(A54&gt;$F$21,W54&gt;0),A54,""))</f>
        <v/>
      </c>
      <c r="AC54" s="42" t="str">
        <f aca="false">IF(W54="","",IF(W54&lt;=-Perte_max,A54,""))</f>
        <v/>
      </c>
    </row>
    <row r="55" customFormat="false" ht="15" hidden="false" customHeight="false" outlineLevel="0" collapsed="false">
      <c r="A55" s="39" t="n">
        <v>15</v>
      </c>
      <c r="B55" s="15" t="n">
        <f aca="false">IF(A55&gt;=Semaine_ouverture,$E$9,0)</f>
        <v>23.0769230769231</v>
      </c>
      <c r="C55" s="12" t="n">
        <f aca="false">B55*Panier_HT</f>
        <v>2028.03671813848</v>
      </c>
      <c r="D55" s="12" t="n">
        <f aca="false">C55*Cout_produit_pct</f>
        <v>1419.62570269693</v>
      </c>
      <c r="E55" s="12" t="n">
        <f aca="false">B55*(Frais_paiement_pct*Panier_TTC+Frais_paiement_fixe)</f>
        <v>61.7307692307692</v>
      </c>
      <c r="F55" s="12" t="n">
        <f aca="false">B55*$E$12</f>
        <v>77.4352451433859</v>
      </c>
      <c r="G55" s="12" t="n">
        <f aca="false">B55*Provision_SAV</f>
        <v>23.0769230769231</v>
      </c>
      <c r="H55" s="12" t="n">
        <f aca="false">B55*$E$8</f>
        <v>138.461538461538</v>
      </c>
      <c r="I55" s="40" t="n">
        <f aca="false">C55-D55-E55-F55-G55-H55</f>
        <v>307.706539528926</v>
      </c>
      <c r="J55" s="12" t="n">
        <f aca="false">$E$11</f>
        <v>92.3076923076923</v>
      </c>
      <c r="K55" s="40" t="n">
        <f aca="false">I55-J55</f>
        <v>215.398847221234</v>
      </c>
      <c r="L55" s="25" t="n">
        <f aca="false">SUM($K$41:K55)</f>
        <v>2000.1565502028</v>
      </c>
      <c r="M55" s="14"/>
      <c r="N55" s="11"/>
      <c r="O55" s="11"/>
      <c r="P55" s="11"/>
      <c r="Q55" s="11"/>
      <c r="R55" s="11"/>
      <c r="S55" s="11"/>
      <c r="T55" s="11"/>
      <c r="U55" s="40" t="str">
        <f aca="false">IF(COUNT(M55:T55)=0,"",N55-O55-P55-Q55-R55-S55)</f>
        <v/>
      </c>
      <c r="V55" s="40" t="str">
        <f aca="false">IF(COUNT(M55:T55)=0,"",U55-T55)</f>
        <v/>
      </c>
      <c r="W55" s="29" t="str">
        <f aca="false">IF(V55="","",SUM($V$41:V55))</f>
        <v/>
      </c>
      <c r="X55" s="40" t="str">
        <f aca="false">IF(W55="","",W55-L55)</f>
        <v/>
      </c>
      <c r="Y55" s="41" t="str">
        <f aca="false">IF(W55="","",IF(MIN($W$41:W55)&lt;=-Perte_max,"GEL GLOBAL",IF(V55&lt;0,"semaine négative","OK")))</f>
        <v/>
      </c>
      <c r="Z55" s="42" t="n">
        <f aca="false">IF(AND(A55&gt;$E$21,L55&gt;0),A55,"")</f>
        <v>15</v>
      </c>
      <c r="AA55" s="42" t="str">
        <f aca="false">IF(L55&lt;=-Perte_max,A55,"")</f>
        <v/>
      </c>
      <c r="AB55" s="42" t="str">
        <f aca="false">IF(W55="","",IF(AND(A55&gt;$F$21,W55&gt;0),A55,""))</f>
        <v/>
      </c>
      <c r="AC55" s="42" t="str">
        <f aca="false">IF(W55="","",IF(W55&lt;=-Perte_max,A55,""))</f>
        <v/>
      </c>
    </row>
    <row r="56" customFormat="false" ht="15" hidden="false" customHeight="false" outlineLevel="0" collapsed="false">
      <c r="A56" s="39" t="n">
        <v>16</v>
      </c>
      <c r="B56" s="15" t="n">
        <f aca="false">IF(A56&gt;=Semaine_ouverture,$E$9,0)</f>
        <v>23.0769230769231</v>
      </c>
      <c r="C56" s="12" t="n">
        <f aca="false">B56*Panier_HT</f>
        <v>2028.03671813848</v>
      </c>
      <c r="D56" s="12" t="n">
        <f aca="false">C56*Cout_produit_pct</f>
        <v>1419.62570269693</v>
      </c>
      <c r="E56" s="12" t="n">
        <f aca="false">B56*(Frais_paiement_pct*Panier_TTC+Frais_paiement_fixe)</f>
        <v>61.7307692307692</v>
      </c>
      <c r="F56" s="12" t="n">
        <f aca="false">B56*$E$12</f>
        <v>77.4352451433859</v>
      </c>
      <c r="G56" s="12" t="n">
        <f aca="false">B56*Provision_SAV</f>
        <v>23.0769230769231</v>
      </c>
      <c r="H56" s="12" t="n">
        <f aca="false">B56*$E$8</f>
        <v>138.461538461538</v>
      </c>
      <c r="I56" s="40" t="n">
        <f aca="false">C56-D56-E56-F56-G56-H56</f>
        <v>307.706539528926</v>
      </c>
      <c r="J56" s="12" t="n">
        <f aca="false">$E$11</f>
        <v>92.3076923076923</v>
      </c>
      <c r="K56" s="40" t="n">
        <f aca="false">I56-J56</f>
        <v>215.398847221234</v>
      </c>
      <c r="L56" s="25" t="n">
        <f aca="false">SUM($K$41:K56)</f>
        <v>2215.55539742404</v>
      </c>
      <c r="M56" s="14"/>
      <c r="N56" s="11"/>
      <c r="O56" s="11"/>
      <c r="P56" s="11"/>
      <c r="Q56" s="11"/>
      <c r="R56" s="11"/>
      <c r="S56" s="11"/>
      <c r="T56" s="11"/>
      <c r="U56" s="40" t="str">
        <f aca="false">IF(COUNT(M56:T56)=0,"",N56-O56-P56-Q56-R56-S56)</f>
        <v/>
      </c>
      <c r="V56" s="40" t="str">
        <f aca="false">IF(COUNT(M56:T56)=0,"",U56-T56)</f>
        <v/>
      </c>
      <c r="W56" s="29" t="str">
        <f aca="false">IF(V56="","",SUM($V$41:V56))</f>
        <v/>
      </c>
      <c r="X56" s="40" t="str">
        <f aca="false">IF(W56="","",W56-L56)</f>
        <v/>
      </c>
      <c r="Y56" s="41" t="str">
        <f aca="false">IF(W56="","",IF(MIN($W$41:W56)&lt;=-Perte_max,"GEL GLOBAL",IF(V56&lt;0,"semaine négative","OK")))</f>
        <v/>
      </c>
      <c r="Z56" s="42" t="n">
        <f aca="false">IF(AND(A56&gt;$E$21,L56&gt;0),A56,"")</f>
        <v>16</v>
      </c>
      <c r="AA56" s="42" t="str">
        <f aca="false">IF(L56&lt;=-Perte_max,A56,"")</f>
        <v/>
      </c>
      <c r="AB56" s="42" t="str">
        <f aca="false">IF(W56="","",IF(AND(A56&gt;$F$21,W56&gt;0),A56,""))</f>
        <v/>
      </c>
      <c r="AC56" s="42" t="str">
        <f aca="false">IF(W56="","",IF(W56&lt;=-Perte_max,A56,""))</f>
        <v/>
      </c>
    </row>
    <row r="57" customFormat="false" ht="15" hidden="false" customHeight="false" outlineLevel="0" collapsed="false">
      <c r="A57" s="39" t="n">
        <v>17</v>
      </c>
      <c r="B57" s="15" t="n">
        <f aca="false">IF(A57&gt;=Semaine_ouverture,$E$9,0)</f>
        <v>23.0769230769231</v>
      </c>
      <c r="C57" s="12" t="n">
        <f aca="false">B57*Panier_HT</f>
        <v>2028.03671813848</v>
      </c>
      <c r="D57" s="12" t="n">
        <f aca="false">C57*Cout_produit_pct</f>
        <v>1419.62570269693</v>
      </c>
      <c r="E57" s="12" t="n">
        <f aca="false">B57*(Frais_paiement_pct*Panier_TTC+Frais_paiement_fixe)</f>
        <v>61.7307692307692</v>
      </c>
      <c r="F57" s="12" t="n">
        <f aca="false">B57*$E$12</f>
        <v>77.4352451433859</v>
      </c>
      <c r="G57" s="12" t="n">
        <f aca="false">B57*Provision_SAV</f>
        <v>23.0769230769231</v>
      </c>
      <c r="H57" s="12" t="n">
        <f aca="false">B57*$E$8</f>
        <v>138.461538461538</v>
      </c>
      <c r="I57" s="40" t="n">
        <f aca="false">C57-D57-E57-F57-G57-H57</f>
        <v>307.706539528926</v>
      </c>
      <c r="J57" s="12" t="n">
        <f aca="false">$E$11</f>
        <v>92.3076923076923</v>
      </c>
      <c r="K57" s="40" t="n">
        <f aca="false">I57-J57</f>
        <v>215.398847221234</v>
      </c>
      <c r="L57" s="25" t="n">
        <f aca="false">SUM($K$41:K57)</f>
        <v>2430.95424464527</v>
      </c>
      <c r="M57" s="14"/>
      <c r="N57" s="11"/>
      <c r="O57" s="11"/>
      <c r="P57" s="11"/>
      <c r="Q57" s="11"/>
      <c r="R57" s="11"/>
      <c r="S57" s="11"/>
      <c r="T57" s="11"/>
      <c r="U57" s="40" t="str">
        <f aca="false">IF(COUNT(M57:T57)=0,"",N57-O57-P57-Q57-R57-S57)</f>
        <v/>
      </c>
      <c r="V57" s="40" t="str">
        <f aca="false">IF(COUNT(M57:T57)=0,"",U57-T57)</f>
        <v/>
      </c>
      <c r="W57" s="29" t="str">
        <f aca="false">IF(V57="","",SUM($V$41:V57))</f>
        <v/>
      </c>
      <c r="X57" s="40" t="str">
        <f aca="false">IF(W57="","",W57-L57)</f>
        <v/>
      </c>
      <c r="Y57" s="41" t="str">
        <f aca="false">IF(W57="","",IF(MIN($W$41:W57)&lt;=-Perte_max,"GEL GLOBAL",IF(V57&lt;0,"semaine négative","OK")))</f>
        <v/>
      </c>
      <c r="Z57" s="42" t="n">
        <f aca="false">IF(AND(A57&gt;$E$21,L57&gt;0),A57,"")</f>
        <v>17</v>
      </c>
      <c r="AA57" s="42" t="str">
        <f aca="false">IF(L57&lt;=-Perte_max,A57,"")</f>
        <v/>
      </c>
      <c r="AB57" s="42" t="str">
        <f aca="false">IF(W57="","",IF(AND(A57&gt;$F$21,W57&gt;0),A57,""))</f>
        <v/>
      </c>
      <c r="AC57" s="42" t="str">
        <f aca="false">IF(W57="","",IF(W57&lt;=-Perte_max,A57,""))</f>
        <v/>
      </c>
    </row>
    <row r="58" customFormat="false" ht="15" hidden="false" customHeight="false" outlineLevel="0" collapsed="false">
      <c r="A58" s="39" t="n">
        <v>18</v>
      </c>
      <c r="B58" s="15" t="n">
        <f aca="false">IF(A58&gt;=Semaine_ouverture,$E$9,0)</f>
        <v>23.0769230769231</v>
      </c>
      <c r="C58" s="12" t="n">
        <f aca="false">B58*Panier_HT</f>
        <v>2028.03671813848</v>
      </c>
      <c r="D58" s="12" t="n">
        <f aca="false">C58*Cout_produit_pct</f>
        <v>1419.62570269693</v>
      </c>
      <c r="E58" s="12" t="n">
        <f aca="false">B58*(Frais_paiement_pct*Panier_TTC+Frais_paiement_fixe)</f>
        <v>61.7307692307692</v>
      </c>
      <c r="F58" s="12" t="n">
        <f aca="false">B58*$E$12</f>
        <v>77.4352451433859</v>
      </c>
      <c r="G58" s="12" t="n">
        <f aca="false">B58*Provision_SAV</f>
        <v>23.0769230769231</v>
      </c>
      <c r="H58" s="12" t="n">
        <f aca="false">B58*$E$8</f>
        <v>138.461538461538</v>
      </c>
      <c r="I58" s="40" t="n">
        <f aca="false">C58-D58-E58-F58-G58-H58</f>
        <v>307.706539528926</v>
      </c>
      <c r="J58" s="12" t="n">
        <f aca="false">$E$11</f>
        <v>92.3076923076923</v>
      </c>
      <c r="K58" s="40" t="n">
        <f aca="false">I58-J58</f>
        <v>215.398847221234</v>
      </c>
      <c r="L58" s="25" t="n">
        <f aca="false">SUM($K$41:K58)</f>
        <v>2646.3530918665</v>
      </c>
      <c r="M58" s="14"/>
      <c r="N58" s="11"/>
      <c r="O58" s="11"/>
      <c r="P58" s="11"/>
      <c r="Q58" s="11"/>
      <c r="R58" s="11"/>
      <c r="S58" s="11"/>
      <c r="T58" s="11"/>
      <c r="U58" s="40" t="str">
        <f aca="false">IF(COUNT(M58:T58)=0,"",N58-O58-P58-Q58-R58-S58)</f>
        <v/>
      </c>
      <c r="V58" s="40" t="str">
        <f aca="false">IF(COUNT(M58:T58)=0,"",U58-T58)</f>
        <v/>
      </c>
      <c r="W58" s="29" t="str">
        <f aca="false">IF(V58="","",SUM($V$41:V58))</f>
        <v/>
      </c>
      <c r="X58" s="40" t="str">
        <f aca="false">IF(W58="","",W58-L58)</f>
        <v/>
      </c>
      <c r="Y58" s="41" t="str">
        <f aca="false">IF(W58="","",IF(MIN($W$41:W58)&lt;=-Perte_max,"GEL GLOBAL",IF(V58&lt;0,"semaine négative","OK")))</f>
        <v/>
      </c>
      <c r="Z58" s="42" t="n">
        <f aca="false">IF(AND(A58&gt;$E$21,L58&gt;0),A58,"")</f>
        <v>18</v>
      </c>
      <c r="AA58" s="42" t="str">
        <f aca="false">IF(L58&lt;=-Perte_max,A58,"")</f>
        <v/>
      </c>
      <c r="AB58" s="42" t="str">
        <f aca="false">IF(W58="","",IF(AND(A58&gt;$F$21,W58&gt;0),A58,""))</f>
        <v/>
      </c>
      <c r="AC58" s="42" t="str">
        <f aca="false">IF(W58="","",IF(W58&lt;=-Perte_max,A58,""))</f>
        <v/>
      </c>
    </row>
    <row r="59" customFormat="false" ht="15" hidden="false" customHeight="false" outlineLevel="0" collapsed="false">
      <c r="A59" s="39" t="n">
        <v>19</v>
      </c>
      <c r="B59" s="15" t="n">
        <f aca="false">IF(A59&gt;=Semaine_ouverture,$E$9,0)</f>
        <v>23.0769230769231</v>
      </c>
      <c r="C59" s="12" t="n">
        <f aca="false">B59*Panier_HT</f>
        <v>2028.03671813848</v>
      </c>
      <c r="D59" s="12" t="n">
        <f aca="false">C59*Cout_produit_pct</f>
        <v>1419.62570269693</v>
      </c>
      <c r="E59" s="12" t="n">
        <f aca="false">B59*(Frais_paiement_pct*Panier_TTC+Frais_paiement_fixe)</f>
        <v>61.7307692307692</v>
      </c>
      <c r="F59" s="12" t="n">
        <f aca="false">B59*$E$12</f>
        <v>77.4352451433859</v>
      </c>
      <c r="G59" s="12" t="n">
        <f aca="false">B59*Provision_SAV</f>
        <v>23.0769230769231</v>
      </c>
      <c r="H59" s="12" t="n">
        <f aca="false">B59*$E$8</f>
        <v>138.461538461538</v>
      </c>
      <c r="I59" s="40" t="n">
        <f aca="false">C59-D59-E59-F59-G59-H59</f>
        <v>307.706539528926</v>
      </c>
      <c r="J59" s="12" t="n">
        <f aca="false">$E$11</f>
        <v>92.3076923076923</v>
      </c>
      <c r="K59" s="40" t="n">
        <f aca="false">I59-J59</f>
        <v>215.398847221234</v>
      </c>
      <c r="L59" s="25" t="n">
        <f aca="false">SUM($K$41:K59)</f>
        <v>2861.75193908774</v>
      </c>
      <c r="M59" s="14"/>
      <c r="N59" s="11"/>
      <c r="O59" s="11"/>
      <c r="P59" s="11"/>
      <c r="Q59" s="11"/>
      <c r="R59" s="11"/>
      <c r="S59" s="11"/>
      <c r="T59" s="11"/>
      <c r="U59" s="40" t="str">
        <f aca="false">IF(COUNT(M59:T59)=0,"",N59-O59-P59-Q59-R59-S59)</f>
        <v/>
      </c>
      <c r="V59" s="40" t="str">
        <f aca="false">IF(COUNT(M59:T59)=0,"",U59-T59)</f>
        <v/>
      </c>
      <c r="W59" s="29" t="str">
        <f aca="false">IF(V59="","",SUM($V$41:V59))</f>
        <v/>
      </c>
      <c r="X59" s="40" t="str">
        <f aca="false">IF(W59="","",W59-L59)</f>
        <v/>
      </c>
      <c r="Y59" s="41" t="str">
        <f aca="false">IF(W59="","",IF(MIN($W$41:W59)&lt;=-Perte_max,"GEL GLOBAL",IF(V59&lt;0,"semaine négative","OK")))</f>
        <v/>
      </c>
      <c r="Z59" s="42" t="n">
        <f aca="false">IF(AND(A59&gt;$E$21,L59&gt;0),A59,"")</f>
        <v>19</v>
      </c>
      <c r="AA59" s="42" t="str">
        <f aca="false">IF(L59&lt;=-Perte_max,A59,"")</f>
        <v/>
      </c>
      <c r="AB59" s="42" t="str">
        <f aca="false">IF(W59="","",IF(AND(A59&gt;$F$21,W59&gt;0),A59,""))</f>
        <v/>
      </c>
      <c r="AC59" s="42" t="str">
        <f aca="false">IF(W59="","",IF(W59&lt;=-Perte_max,A59,""))</f>
        <v/>
      </c>
    </row>
    <row r="60" customFormat="false" ht="15" hidden="false" customHeight="false" outlineLevel="0" collapsed="false">
      <c r="A60" s="39" t="n">
        <v>20</v>
      </c>
      <c r="B60" s="15" t="n">
        <f aca="false">IF(A60&gt;=Semaine_ouverture,$E$9,0)</f>
        <v>23.0769230769231</v>
      </c>
      <c r="C60" s="12" t="n">
        <f aca="false">B60*Panier_HT</f>
        <v>2028.03671813848</v>
      </c>
      <c r="D60" s="12" t="n">
        <f aca="false">C60*Cout_produit_pct</f>
        <v>1419.62570269693</v>
      </c>
      <c r="E60" s="12" t="n">
        <f aca="false">B60*(Frais_paiement_pct*Panier_TTC+Frais_paiement_fixe)</f>
        <v>61.7307692307692</v>
      </c>
      <c r="F60" s="12" t="n">
        <f aca="false">B60*$E$12</f>
        <v>77.4352451433859</v>
      </c>
      <c r="G60" s="12" t="n">
        <f aca="false">B60*Provision_SAV</f>
        <v>23.0769230769231</v>
      </c>
      <c r="H60" s="12" t="n">
        <f aca="false">B60*$E$8</f>
        <v>138.461538461538</v>
      </c>
      <c r="I60" s="40" t="n">
        <f aca="false">C60-D60-E60-F60-G60-H60</f>
        <v>307.706539528926</v>
      </c>
      <c r="J60" s="12" t="n">
        <f aca="false">$E$11</f>
        <v>92.3076923076923</v>
      </c>
      <c r="K60" s="40" t="n">
        <f aca="false">I60-J60</f>
        <v>215.398847221234</v>
      </c>
      <c r="L60" s="25" t="n">
        <f aca="false">SUM($K$41:K60)</f>
        <v>3077.15078630897</v>
      </c>
      <c r="M60" s="14"/>
      <c r="N60" s="11"/>
      <c r="O60" s="11"/>
      <c r="P60" s="11"/>
      <c r="Q60" s="11"/>
      <c r="R60" s="11"/>
      <c r="S60" s="11"/>
      <c r="T60" s="11"/>
      <c r="U60" s="40" t="str">
        <f aca="false">IF(COUNT(M60:T60)=0,"",N60-O60-P60-Q60-R60-S60)</f>
        <v/>
      </c>
      <c r="V60" s="40" t="str">
        <f aca="false">IF(COUNT(M60:T60)=0,"",U60-T60)</f>
        <v/>
      </c>
      <c r="W60" s="29" t="str">
        <f aca="false">IF(V60="","",SUM($V$41:V60))</f>
        <v/>
      </c>
      <c r="X60" s="40" t="str">
        <f aca="false">IF(W60="","",W60-L60)</f>
        <v/>
      </c>
      <c r="Y60" s="41" t="str">
        <f aca="false">IF(W60="","",IF(MIN($W$41:W60)&lt;=-Perte_max,"GEL GLOBAL",IF(V60&lt;0,"semaine négative","OK")))</f>
        <v/>
      </c>
      <c r="Z60" s="42" t="n">
        <f aca="false">IF(AND(A60&gt;$E$21,L60&gt;0),A60,"")</f>
        <v>20</v>
      </c>
      <c r="AA60" s="42" t="str">
        <f aca="false">IF(L60&lt;=-Perte_max,A60,"")</f>
        <v/>
      </c>
      <c r="AB60" s="42" t="str">
        <f aca="false">IF(W60="","",IF(AND(A60&gt;$F$21,W60&gt;0),A60,""))</f>
        <v/>
      </c>
      <c r="AC60" s="42" t="str">
        <f aca="false">IF(W60="","",IF(W60&lt;=-Perte_max,A60,""))</f>
        <v/>
      </c>
    </row>
    <row r="61" customFormat="false" ht="15" hidden="false" customHeight="false" outlineLevel="0" collapsed="false">
      <c r="A61" s="39" t="n">
        <v>21</v>
      </c>
      <c r="B61" s="15" t="n">
        <f aca="false">IF(A61&gt;=Semaine_ouverture,$E$9,0)</f>
        <v>23.0769230769231</v>
      </c>
      <c r="C61" s="12" t="n">
        <f aca="false">B61*Panier_HT</f>
        <v>2028.03671813848</v>
      </c>
      <c r="D61" s="12" t="n">
        <f aca="false">C61*Cout_produit_pct</f>
        <v>1419.62570269693</v>
      </c>
      <c r="E61" s="12" t="n">
        <f aca="false">B61*(Frais_paiement_pct*Panier_TTC+Frais_paiement_fixe)</f>
        <v>61.7307692307692</v>
      </c>
      <c r="F61" s="12" t="n">
        <f aca="false">B61*$E$12</f>
        <v>77.4352451433859</v>
      </c>
      <c r="G61" s="12" t="n">
        <f aca="false">B61*Provision_SAV</f>
        <v>23.0769230769231</v>
      </c>
      <c r="H61" s="12" t="n">
        <f aca="false">B61*$E$8</f>
        <v>138.461538461538</v>
      </c>
      <c r="I61" s="40" t="n">
        <f aca="false">C61-D61-E61-F61-G61-H61</f>
        <v>307.706539528926</v>
      </c>
      <c r="J61" s="12" t="n">
        <f aca="false">$E$11</f>
        <v>92.3076923076923</v>
      </c>
      <c r="K61" s="40" t="n">
        <f aca="false">I61-J61</f>
        <v>215.398847221234</v>
      </c>
      <c r="L61" s="25" t="n">
        <f aca="false">SUM($K$41:K61)</f>
        <v>3292.5496335302</v>
      </c>
      <c r="M61" s="14"/>
      <c r="N61" s="11"/>
      <c r="O61" s="11"/>
      <c r="P61" s="11"/>
      <c r="Q61" s="11"/>
      <c r="R61" s="11"/>
      <c r="S61" s="11"/>
      <c r="T61" s="11"/>
      <c r="U61" s="40" t="str">
        <f aca="false">IF(COUNT(M61:T61)=0,"",N61-O61-P61-Q61-R61-S61)</f>
        <v/>
      </c>
      <c r="V61" s="40" t="str">
        <f aca="false">IF(COUNT(M61:T61)=0,"",U61-T61)</f>
        <v/>
      </c>
      <c r="W61" s="29" t="str">
        <f aca="false">IF(V61="","",SUM($V$41:V61))</f>
        <v/>
      </c>
      <c r="X61" s="40" t="str">
        <f aca="false">IF(W61="","",W61-L61)</f>
        <v/>
      </c>
      <c r="Y61" s="41" t="str">
        <f aca="false">IF(W61="","",IF(MIN($W$41:W61)&lt;=-Perte_max,"GEL GLOBAL",IF(V61&lt;0,"semaine négative","OK")))</f>
        <v/>
      </c>
      <c r="Z61" s="42" t="n">
        <f aca="false">IF(AND(A61&gt;$E$21,L61&gt;0),A61,"")</f>
        <v>21</v>
      </c>
      <c r="AA61" s="42" t="str">
        <f aca="false">IF(L61&lt;=-Perte_max,A61,"")</f>
        <v/>
      </c>
      <c r="AB61" s="42" t="str">
        <f aca="false">IF(W61="","",IF(AND(A61&gt;$F$21,W61&gt;0),A61,""))</f>
        <v/>
      </c>
      <c r="AC61" s="42" t="str">
        <f aca="false">IF(W61="","",IF(W61&lt;=-Perte_max,A61,""))</f>
        <v/>
      </c>
    </row>
    <row r="62" customFormat="false" ht="15" hidden="false" customHeight="false" outlineLevel="0" collapsed="false">
      <c r="A62" s="39" t="n">
        <v>22</v>
      </c>
      <c r="B62" s="15" t="n">
        <f aca="false">IF(A62&gt;=Semaine_ouverture,$E$9,0)</f>
        <v>23.0769230769231</v>
      </c>
      <c r="C62" s="12" t="n">
        <f aca="false">B62*Panier_HT</f>
        <v>2028.03671813848</v>
      </c>
      <c r="D62" s="12" t="n">
        <f aca="false">C62*Cout_produit_pct</f>
        <v>1419.62570269693</v>
      </c>
      <c r="E62" s="12" t="n">
        <f aca="false">B62*(Frais_paiement_pct*Panier_TTC+Frais_paiement_fixe)</f>
        <v>61.7307692307692</v>
      </c>
      <c r="F62" s="12" t="n">
        <f aca="false">B62*$E$12</f>
        <v>77.4352451433859</v>
      </c>
      <c r="G62" s="12" t="n">
        <f aca="false">B62*Provision_SAV</f>
        <v>23.0769230769231</v>
      </c>
      <c r="H62" s="12" t="n">
        <f aca="false">B62*$E$8</f>
        <v>138.461538461538</v>
      </c>
      <c r="I62" s="40" t="n">
        <f aca="false">C62-D62-E62-F62-G62-H62</f>
        <v>307.706539528926</v>
      </c>
      <c r="J62" s="12" t="n">
        <f aca="false">$E$11</f>
        <v>92.3076923076923</v>
      </c>
      <c r="K62" s="40" t="n">
        <f aca="false">I62-J62</f>
        <v>215.398847221234</v>
      </c>
      <c r="L62" s="25" t="n">
        <f aca="false">SUM($K$41:K62)</f>
        <v>3507.94848075144</v>
      </c>
      <c r="M62" s="14"/>
      <c r="N62" s="11"/>
      <c r="O62" s="11"/>
      <c r="P62" s="11"/>
      <c r="Q62" s="11"/>
      <c r="R62" s="11"/>
      <c r="S62" s="11"/>
      <c r="T62" s="11"/>
      <c r="U62" s="40" t="str">
        <f aca="false">IF(COUNT(M62:T62)=0,"",N62-O62-P62-Q62-R62-S62)</f>
        <v/>
      </c>
      <c r="V62" s="40" t="str">
        <f aca="false">IF(COUNT(M62:T62)=0,"",U62-T62)</f>
        <v/>
      </c>
      <c r="W62" s="29" t="str">
        <f aca="false">IF(V62="","",SUM($V$41:V62))</f>
        <v/>
      </c>
      <c r="X62" s="40" t="str">
        <f aca="false">IF(W62="","",W62-L62)</f>
        <v/>
      </c>
      <c r="Y62" s="41" t="str">
        <f aca="false">IF(W62="","",IF(MIN($W$41:W62)&lt;=-Perte_max,"GEL GLOBAL",IF(V62&lt;0,"semaine négative","OK")))</f>
        <v/>
      </c>
      <c r="Z62" s="42" t="n">
        <f aca="false">IF(AND(A62&gt;$E$21,L62&gt;0),A62,"")</f>
        <v>22</v>
      </c>
      <c r="AA62" s="42" t="str">
        <f aca="false">IF(L62&lt;=-Perte_max,A62,"")</f>
        <v/>
      </c>
      <c r="AB62" s="42" t="str">
        <f aca="false">IF(W62="","",IF(AND(A62&gt;$F$21,W62&gt;0),A62,""))</f>
        <v/>
      </c>
      <c r="AC62" s="42" t="str">
        <f aca="false">IF(W62="","",IF(W62&lt;=-Perte_max,A62,""))</f>
        <v/>
      </c>
    </row>
    <row r="63" customFormat="false" ht="15" hidden="false" customHeight="false" outlineLevel="0" collapsed="false">
      <c r="A63" s="39" t="n">
        <v>23</v>
      </c>
      <c r="B63" s="15" t="n">
        <f aca="false">IF(A63&gt;=Semaine_ouverture,$E$9,0)</f>
        <v>23.0769230769231</v>
      </c>
      <c r="C63" s="12" t="n">
        <f aca="false">B63*Panier_HT</f>
        <v>2028.03671813848</v>
      </c>
      <c r="D63" s="12" t="n">
        <f aca="false">C63*Cout_produit_pct</f>
        <v>1419.62570269693</v>
      </c>
      <c r="E63" s="12" t="n">
        <f aca="false">B63*(Frais_paiement_pct*Panier_TTC+Frais_paiement_fixe)</f>
        <v>61.7307692307692</v>
      </c>
      <c r="F63" s="12" t="n">
        <f aca="false">B63*$E$12</f>
        <v>77.4352451433859</v>
      </c>
      <c r="G63" s="12" t="n">
        <f aca="false">B63*Provision_SAV</f>
        <v>23.0769230769231</v>
      </c>
      <c r="H63" s="12" t="n">
        <f aca="false">B63*$E$8</f>
        <v>138.461538461538</v>
      </c>
      <c r="I63" s="40" t="n">
        <f aca="false">C63-D63-E63-F63-G63-H63</f>
        <v>307.706539528926</v>
      </c>
      <c r="J63" s="12" t="n">
        <f aca="false">$E$11</f>
        <v>92.3076923076923</v>
      </c>
      <c r="K63" s="40" t="n">
        <f aca="false">I63-J63</f>
        <v>215.398847221234</v>
      </c>
      <c r="L63" s="25" t="n">
        <f aca="false">SUM($K$41:K63)</f>
        <v>3723.34732797267</v>
      </c>
      <c r="M63" s="14"/>
      <c r="N63" s="11"/>
      <c r="O63" s="11"/>
      <c r="P63" s="11"/>
      <c r="Q63" s="11"/>
      <c r="R63" s="11"/>
      <c r="S63" s="11"/>
      <c r="T63" s="11"/>
      <c r="U63" s="40" t="str">
        <f aca="false">IF(COUNT(M63:T63)=0,"",N63-O63-P63-Q63-R63-S63)</f>
        <v/>
      </c>
      <c r="V63" s="40" t="str">
        <f aca="false">IF(COUNT(M63:T63)=0,"",U63-T63)</f>
        <v/>
      </c>
      <c r="W63" s="29" t="str">
        <f aca="false">IF(V63="","",SUM($V$41:V63))</f>
        <v/>
      </c>
      <c r="X63" s="40" t="str">
        <f aca="false">IF(W63="","",W63-L63)</f>
        <v/>
      </c>
      <c r="Y63" s="41" t="str">
        <f aca="false">IF(W63="","",IF(MIN($W$41:W63)&lt;=-Perte_max,"GEL GLOBAL",IF(V63&lt;0,"semaine négative","OK")))</f>
        <v/>
      </c>
      <c r="Z63" s="42" t="n">
        <f aca="false">IF(AND(A63&gt;$E$21,L63&gt;0),A63,"")</f>
        <v>23</v>
      </c>
      <c r="AA63" s="42" t="str">
        <f aca="false">IF(L63&lt;=-Perte_max,A63,"")</f>
        <v/>
      </c>
      <c r="AB63" s="42" t="str">
        <f aca="false">IF(W63="","",IF(AND(A63&gt;$F$21,W63&gt;0),A63,""))</f>
        <v/>
      </c>
      <c r="AC63" s="42" t="str">
        <f aca="false">IF(W63="","",IF(W63&lt;=-Perte_max,A63,""))</f>
        <v/>
      </c>
    </row>
    <row r="64" customFormat="false" ht="15" hidden="false" customHeight="false" outlineLevel="0" collapsed="false">
      <c r="A64" s="39" t="n">
        <v>24</v>
      </c>
      <c r="B64" s="15" t="n">
        <f aca="false">IF(A64&gt;=Semaine_ouverture,$E$9,0)</f>
        <v>23.0769230769231</v>
      </c>
      <c r="C64" s="12" t="n">
        <f aca="false">B64*Panier_HT</f>
        <v>2028.03671813848</v>
      </c>
      <c r="D64" s="12" t="n">
        <f aca="false">C64*Cout_produit_pct</f>
        <v>1419.62570269693</v>
      </c>
      <c r="E64" s="12" t="n">
        <f aca="false">B64*(Frais_paiement_pct*Panier_TTC+Frais_paiement_fixe)</f>
        <v>61.7307692307692</v>
      </c>
      <c r="F64" s="12" t="n">
        <f aca="false">B64*$E$12</f>
        <v>77.4352451433859</v>
      </c>
      <c r="G64" s="12" t="n">
        <f aca="false">B64*Provision_SAV</f>
        <v>23.0769230769231</v>
      </c>
      <c r="H64" s="12" t="n">
        <f aca="false">B64*$E$8</f>
        <v>138.461538461538</v>
      </c>
      <c r="I64" s="40" t="n">
        <f aca="false">C64-D64-E64-F64-G64-H64</f>
        <v>307.706539528926</v>
      </c>
      <c r="J64" s="12" t="n">
        <f aca="false">$E$11</f>
        <v>92.3076923076923</v>
      </c>
      <c r="K64" s="40" t="n">
        <f aca="false">I64-J64</f>
        <v>215.398847221234</v>
      </c>
      <c r="L64" s="25" t="n">
        <f aca="false">SUM($K$41:K64)</f>
        <v>3938.74617519391</v>
      </c>
      <c r="M64" s="14"/>
      <c r="N64" s="11"/>
      <c r="O64" s="11"/>
      <c r="P64" s="11"/>
      <c r="Q64" s="11"/>
      <c r="R64" s="11"/>
      <c r="S64" s="11"/>
      <c r="T64" s="11"/>
      <c r="U64" s="40" t="str">
        <f aca="false">IF(COUNT(M64:T64)=0,"",N64-O64-P64-Q64-R64-S64)</f>
        <v/>
      </c>
      <c r="V64" s="40" t="str">
        <f aca="false">IF(COUNT(M64:T64)=0,"",U64-T64)</f>
        <v/>
      </c>
      <c r="W64" s="29" t="str">
        <f aca="false">IF(V64="","",SUM($V$41:V64))</f>
        <v/>
      </c>
      <c r="X64" s="40" t="str">
        <f aca="false">IF(W64="","",W64-L64)</f>
        <v/>
      </c>
      <c r="Y64" s="41" t="str">
        <f aca="false">IF(W64="","",IF(MIN($W$41:W64)&lt;=-Perte_max,"GEL GLOBAL",IF(V64&lt;0,"semaine négative","OK")))</f>
        <v/>
      </c>
      <c r="Z64" s="42" t="n">
        <f aca="false">IF(AND(A64&gt;$E$21,L64&gt;0),A64,"")</f>
        <v>24</v>
      </c>
      <c r="AA64" s="42" t="str">
        <f aca="false">IF(L64&lt;=-Perte_max,A64,"")</f>
        <v/>
      </c>
      <c r="AB64" s="42" t="str">
        <f aca="false">IF(W64="","",IF(AND(A64&gt;$F$21,W64&gt;0),A64,""))</f>
        <v/>
      </c>
      <c r="AC64" s="42" t="str">
        <f aca="false">IF(W64="","",IF(W64&lt;=-Perte_max,A64,""))</f>
        <v/>
      </c>
    </row>
    <row r="65" customFormat="false" ht="15" hidden="false" customHeight="false" outlineLevel="0" collapsed="false">
      <c r="A65" s="39" t="n">
        <v>25</v>
      </c>
      <c r="B65" s="15" t="n">
        <f aca="false">IF(A65&gt;=Semaine_ouverture,$E$9,0)</f>
        <v>23.0769230769231</v>
      </c>
      <c r="C65" s="12" t="n">
        <f aca="false">B65*Panier_HT</f>
        <v>2028.03671813848</v>
      </c>
      <c r="D65" s="12" t="n">
        <f aca="false">C65*Cout_produit_pct</f>
        <v>1419.62570269693</v>
      </c>
      <c r="E65" s="12" t="n">
        <f aca="false">B65*(Frais_paiement_pct*Panier_TTC+Frais_paiement_fixe)</f>
        <v>61.7307692307692</v>
      </c>
      <c r="F65" s="12" t="n">
        <f aca="false">B65*$E$12</f>
        <v>77.4352451433859</v>
      </c>
      <c r="G65" s="12" t="n">
        <f aca="false">B65*Provision_SAV</f>
        <v>23.0769230769231</v>
      </c>
      <c r="H65" s="12" t="n">
        <f aca="false">B65*$E$8</f>
        <v>138.461538461538</v>
      </c>
      <c r="I65" s="40" t="n">
        <f aca="false">C65-D65-E65-F65-G65-H65</f>
        <v>307.706539528926</v>
      </c>
      <c r="J65" s="12" t="n">
        <f aca="false">$E$11</f>
        <v>92.3076923076923</v>
      </c>
      <c r="K65" s="40" t="n">
        <f aca="false">I65-J65</f>
        <v>215.398847221234</v>
      </c>
      <c r="L65" s="25" t="n">
        <f aca="false">SUM($K$41:K65)</f>
        <v>4154.14502241514</v>
      </c>
      <c r="M65" s="14"/>
      <c r="N65" s="11"/>
      <c r="O65" s="11"/>
      <c r="P65" s="11"/>
      <c r="Q65" s="11"/>
      <c r="R65" s="11"/>
      <c r="S65" s="11"/>
      <c r="T65" s="11"/>
      <c r="U65" s="40" t="str">
        <f aca="false">IF(COUNT(M65:T65)=0,"",N65-O65-P65-Q65-R65-S65)</f>
        <v/>
      </c>
      <c r="V65" s="40" t="str">
        <f aca="false">IF(COUNT(M65:T65)=0,"",U65-T65)</f>
        <v/>
      </c>
      <c r="W65" s="29" t="str">
        <f aca="false">IF(V65="","",SUM($V$41:V65))</f>
        <v/>
      </c>
      <c r="X65" s="40" t="str">
        <f aca="false">IF(W65="","",W65-L65)</f>
        <v/>
      </c>
      <c r="Y65" s="41" t="str">
        <f aca="false">IF(W65="","",IF(MIN($W$41:W65)&lt;=-Perte_max,"GEL GLOBAL",IF(V65&lt;0,"semaine négative","OK")))</f>
        <v/>
      </c>
      <c r="Z65" s="42" t="n">
        <f aca="false">IF(AND(A65&gt;$E$21,L65&gt;0),A65,"")</f>
        <v>25</v>
      </c>
      <c r="AA65" s="42" t="str">
        <f aca="false">IF(L65&lt;=-Perte_max,A65,"")</f>
        <v/>
      </c>
      <c r="AB65" s="42" t="str">
        <f aca="false">IF(W65="","",IF(AND(A65&gt;$F$21,W65&gt;0),A65,""))</f>
        <v/>
      </c>
      <c r="AC65" s="42" t="str">
        <f aca="false">IF(W65="","",IF(W65&lt;=-Perte_max,A65,""))</f>
        <v/>
      </c>
    </row>
    <row r="66" customFormat="false" ht="15" hidden="false" customHeight="false" outlineLevel="0" collapsed="false">
      <c r="A66" s="39" t="n">
        <v>26</v>
      </c>
      <c r="B66" s="15" t="n">
        <f aca="false">IF(A66&gt;=Semaine_ouverture,$E$9,0)</f>
        <v>23.0769230769231</v>
      </c>
      <c r="C66" s="12" t="n">
        <f aca="false">B66*Panier_HT</f>
        <v>2028.03671813848</v>
      </c>
      <c r="D66" s="12" t="n">
        <f aca="false">C66*Cout_produit_pct</f>
        <v>1419.62570269693</v>
      </c>
      <c r="E66" s="12" t="n">
        <f aca="false">B66*(Frais_paiement_pct*Panier_TTC+Frais_paiement_fixe)</f>
        <v>61.7307692307692</v>
      </c>
      <c r="F66" s="12" t="n">
        <f aca="false">B66*$E$12</f>
        <v>77.4352451433859</v>
      </c>
      <c r="G66" s="12" t="n">
        <f aca="false">B66*Provision_SAV</f>
        <v>23.0769230769231</v>
      </c>
      <c r="H66" s="12" t="n">
        <f aca="false">B66*$E$8</f>
        <v>138.461538461538</v>
      </c>
      <c r="I66" s="40" t="n">
        <f aca="false">C66-D66-E66-F66-G66-H66</f>
        <v>307.706539528926</v>
      </c>
      <c r="J66" s="12" t="n">
        <f aca="false">$E$11</f>
        <v>92.3076923076923</v>
      </c>
      <c r="K66" s="40" t="n">
        <f aca="false">I66-J66</f>
        <v>215.398847221234</v>
      </c>
      <c r="L66" s="25" t="n">
        <f aca="false">SUM($K$41:K66)</f>
        <v>4369.54386963637</v>
      </c>
      <c r="M66" s="14"/>
      <c r="N66" s="11"/>
      <c r="O66" s="11"/>
      <c r="P66" s="11"/>
      <c r="Q66" s="11"/>
      <c r="R66" s="11"/>
      <c r="S66" s="11"/>
      <c r="T66" s="11"/>
      <c r="U66" s="40" t="str">
        <f aca="false">IF(COUNT(M66:T66)=0,"",N66-O66-P66-Q66-R66-S66)</f>
        <v/>
      </c>
      <c r="V66" s="40" t="str">
        <f aca="false">IF(COUNT(M66:T66)=0,"",U66-T66)</f>
        <v/>
      </c>
      <c r="W66" s="29" t="str">
        <f aca="false">IF(V66="","",SUM($V$41:V66))</f>
        <v/>
      </c>
      <c r="X66" s="40" t="str">
        <f aca="false">IF(W66="","",W66-L66)</f>
        <v/>
      </c>
      <c r="Y66" s="41" t="str">
        <f aca="false">IF(W66="","",IF(MIN($W$41:W66)&lt;=-Perte_max,"GEL GLOBAL",IF(V66&lt;0,"semaine négative","OK")))</f>
        <v/>
      </c>
      <c r="Z66" s="42" t="n">
        <f aca="false">IF(AND(A66&gt;$E$21,L66&gt;0),A66,"")</f>
        <v>26</v>
      </c>
      <c r="AA66" s="42" t="str">
        <f aca="false">IF(L66&lt;=-Perte_max,A66,"")</f>
        <v/>
      </c>
      <c r="AB66" s="42" t="str">
        <f aca="false">IF(W66="","",IF(AND(A66&gt;$F$21,W66&gt;0),A66,""))</f>
        <v/>
      </c>
      <c r="AC66" s="42" t="str">
        <f aca="false">IF(W66="","",IF(W66&lt;=-Perte_max,A66,""))</f>
        <v/>
      </c>
    </row>
    <row r="67" customFormat="false" ht="15" hidden="false" customHeight="false" outlineLevel="0" collapsed="false">
      <c r="A67" s="39" t="n">
        <v>27</v>
      </c>
      <c r="B67" s="15" t="n">
        <f aca="false">IF(A67&gt;=Semaine_ouverture,$E$9,0)</f>
        <v>23.0769230769231</v>
      </c>
      <c r="C67" s="12" t="n">
        <f aca="false">B67*Panier_HT</f>
        <v>2028.03671813848</v>
      </c>
      <c r="D67" s="12" t="n">
        <f aca="false">C67*Cout_produit_pct</f>
        <v>1419.62570269693</v>
      </c>
      <c r="E67" s="12" t="n">
        <f aca="false">B67*(Frais_paiement_pct*Panier_TTC+Frais_paiement_fixe)</f>
        <v>61.7307692307692</v>
      </c>
      <c r="F67" s="12" t="n">
        <f aca="false">B67*$E$12</f>
        <v>77.4352451433859</v>
      </c>
      <c r="G67" s="12" t="n">
        <f aca="false">B67*Provision_SAV</f>
        <v>23.0769230769231</v>
      </c>
      <c r="H67" s="12" t="n">
        <f aca="false">B67*$E$8</f>
        <v>138.461538461538</v>
      </c>
      <c r="I67" s="40" t="n">
        <f aca="false">C67-D67-E67-F67-G67-H67</f>
        <v>307.706539528926</v>
      </c>
      <c r="J67" s="12" t="n">
        <f aca="false">$E$11</f>
        <v>92.3076923076923</v>
      </c>
      <c r="K67" s="40" t="n">
        <f aca="false">I67-J67</f>
        <v>215.398847221234</v>
      </c>
      <c r="L67" s="25" t="n">
        <f aca="false">SUM($K$41:K67)</f>
        <v>4584.94271685761</v>
      </c>
      <c r="M67" s="14"/>
      <c r="N67" s="11"/>
      <c r="O67" s="11"/>
      <c r="P67" s="11"/>
      <c r="Q67" s="11"/>
      <c r="R67" s="11"/>
      <c r="S67" s="11"/>
      <c r="T67" s="11"/>
      <c r="U67" s="40" t="str">
        <f aca="false">IF(COUNT(M67:T67)=0,"",N67-O67-P67-Q67-R67-S67)</f>
        <v/>
      </c>
      <c r="V67" s="40" t="str">
        <f aca="false">IF(COUNT(M67:T67)=0,"",U67-T67)</f>
        <v/>
      </c>
      <c r="W67" s="29" t="str">
        <f aca="false">IF(V67="","",SUM($V$41:V67))</f>
        <v/>
      </c>
      <c r="X67" s="40" t="str">
        <f aca="false">IF(W67="","",W67-L67)</f>
        <v/>
      </c>
      <c r="Y67" s="41" t="str">
        <f aca="false">IF(W67="","",IF(MIN($W$41:W67)&lt;=-Perte_max,"GEL GLOBAL",IF(V67&lt;0,"semaine négative","OK")))</f>
        <v/>
      </c>
      <c r="Z67" s="42" t="n">
        <f aca="false">IF(AND(A67&gt;$E$21,L67&gt;0),A67,"")</f>
        <v>27</v>
      </c>
      <c r="AA67" s="42" t="str">
        <f aca="false">IF(L67&lt;=-Perte_max,A67,"")</f>
        <v/>
      </c>
      <c r="AB67" s="42" t="str">
        <f aca="false">IF(W67="","",IF(AND(A67&gt;$F$21,W67&gt;0),A67,""))</f>
        <v/>
      </c>
      <c r="AC67" s="42" t="str">
        <f aca="false">IF(W67="","",IF(W67&lt;=-Perte_max,A67,""))</f>
        <v/>
      </c>
    </row>
    <row r="68" customFormat="false" ht="15" hidden="false" customHeight="false" outlineLevel="0" collapsed="false">
      <c r="A68" s="39" t="n">
        <v>28</v>
      </c>
      <c r="B68" s="15" t="n">
        <f aca="false">IF(A68&gt;=Semaine_ouverture,$E$9,0)</f>
        <v>23.0769230769231</v>
      </c>
      <c r="C68" s="12" t="n">
        <f aca="false">B68*Panier_HT</f>
        <v>2028.03671813848</v>
      </c>
      <c r="D68" s="12" t="n">
        <f aca="false">C68*Cout_produit_pct</f>
        <v>1419.62570269693</v>
      </c>
      <c r="E68" s="12" t="n">
        <f aca="false">B68*(Frais_paiement_pct*Panier_TTC+Frais_paiement_fixe)</f>
        <v>61.7307692307692</v>
      </c>
      <c r="F68" s="12" t="n">
        <f aca="false">B68*$E$12</f>
        <v>77.4352451433859</v>
      </c>
      <c r="G68" s="12" t="n">
        <f aca="false">B68*Provision_SAV</f>
        <v>23.0769230769231</v>
      </c>
      <c r="H68" s="12" t="n">
        <f aca="false">B68*$E$8</f>
        <v>138.461538461538</v>
      </c>
      <c r="I68" s="40" t="n">
        <f aca="false">C68-D68-E68-F68-G68-H68</f>
        <v>307.706539528926</v>
      </c>
      <c r="J68" s="12" t="n">
        <f aca="false">$E$11</f>
        <v>92.3076923076923</v>
      </c>
      <c r="K68" s="40" t="n">
        <f aca="false">I68-J68</f>
        <v>215.398847221234</v>
      </c>
      <c r="L68" s="25" t="n">
        <f aca="false">SUM($K$41:K68)</f>
        <v>4800.34156407884</v>
      </c>
      <c r="M68" s="14"/>
      <c r="N68" s="11"/>
      <c r="O68" s="11"/>
      <c r="P68" s="11"/>
      <c r="Q68" s="11"/>
      <c r="R68" s="11"/>
      <c r="S68" s="11"/>
      <c r="T68" s="11"/>
      <c r="U68" s="40" t="str">
        <f aca="false">IF(COUNT(M68:T68)=0,"",N68-O68-P68-Q68-R68-S68)</f>
        <v/>
      </c>
      <c r="V68" s="40" t="str">
        <f aca="false">IF(COUNT(M68:T68)=0,"",U68-T68)</f>
        <v/>
      </c>
      <c r="W68" s="29" t="str">
        <f aca="false">IF(V68="","",SUM($V$41:V68))</f>
        <v/>
      </c>
      <c r="X68" s="40" t="str">
        <f aca="false">IF(W68="","",W68-L68)</f>
        <v/>
      </c>
      <c r="Y68" s="41" t="str">
        <f aca="false">IF(W68="","",IF(MIN($W$41:W68)&lt;=-Perte_max,"GEL GLOBAL",IF(V68&lt;0,"semaine négative","OK")))</f>
        <v/>
      </c>
      <c r="Z68" s="42" t="n">
        <f aca="false">IF(AND(A68&gt;$E$21,L68&gt;0),A68,"")</f>
        <v>28</v>
      </c>
      <c r="AA68" s="42" t="str">
        <f aca="false">IF(L68&lt;=-Perte_max,A68,"")</f>
        <v/>
      </c>
      <c r="AB68" s="42" t="str">
        <f aca="false">IF(W68="","",IF(AND(A68&gt;$F$21,W68&gt;0),A68,""))</f>
        <v/>
      </c>
      <c r="AC68" s="42" t="str">
        <f aca="false">IF(W68="","",IF(W68&lt;=-Perte_max,A68,""))</f>
        <v/>
      </c>
    </row>
    <row r="69" customFormat="false" ht="15" hidden="false" customHeight="false" outlineLevel="0" collapsed="false">
      <c r="A69" s="39" t="n">
        <v>29</v>
      </c>
      <c r="B69" s="15" t="n">
        <f aca="false">IF(A69&gt;=Semaine_ouverture,$E$9,0)</f>
        <v>23.0769230769231</v>
      </c>
      <c r="C69" s="12" t="n">
        <f aca="false">B69*Panier_HT</f>
        <v>2028.03671813848</v>
      </c>
      <c r="D69" s="12" t="n">
        <f aca="false">C69*Cout_produit_pct</f>
        <v>1419.62570269693</v>
      </c>
      <c r="E69" s="12" t="n">
        <f aca="false">B69*(Frais_paiement_pct*Panier_TTC+Frais_paiement_fixe)</f>
        <v>61.7307692307692</v>
      </c>
      <c r="F69" s="12" t="n">
        <f aca="false">B69*$E$12</f>
        <v>77.4352451433859</v>
      </c>
      <c r="G69" s="12" t="n">
        <f aca="false">B69*Provision_SAV</f>
        <v>23.0769230769231</v>
      </c>
      <c r="H69" s="12" t="n">
        <f aca="false">B69*$E$8</f>
        <v>138.461538461538</v>
      </c>
      <c r="I69" s="40" t="n">
        <f aca="false">C69-D69-E69-F69-G69-H69</f>
        <v>307.706539528926</v>
      </c>
      <c r="J69" s="12" t="n">
        <f aca="false">$E$11</f>
        <v>92.3076923076923</v>
      </c>
      <c r="K69" s="40" t="n">
        <f aca="false">I69-J69</f>
        <v>215.398847221234</v>
      </c>
      <c r="L69" s="25" t="n">
        <f aca="false">SUM($K$41:K69)</f>
        <v>5015.74041130007</v>
      </c>
      <c r="M69" s="14"/>
      <c r="N69" s="11"/>
      <c r="O69" s="11"/>
      <c r="P69" s="11"/>
      <c r="Q69" s="11"/>
      <c r="R69" s="11"/>
      <c r="S69" s="11"/>
      <c r="T69" s="11"/>
      <c r="U69" s="40" t="str">
        <f aca="false">IF(COUNT(M69:T69)=0,"",N69-O69-P69-Q69-R69-S69)</f>
        <v/>
      </c>
      <c r="V69" s="40" t="str">
        <f aca="false">IF(COUNT(M69:T69)=0,"",U69-T69)</f>
        <v/>
      </c>
      <c r="W69" s="29" t="str">
        <f aca="false">IF(V69="","",SUM($V$41:V69))</f>
        <v/>
      </c>
      <c r="X69" s="40" t="str">
        <f aca="false">IF(W69="","",W69-L69)</f>
        <v/>
      </c>
      <c r="Y69" s="41" t="str">
        <f aca="false">IF(W69="","",IF(MIN($W$41:W69)&lt;=-Perte_max,"GEL GLOBAL",IF(V69&lt;0,"semaine négative","OK")))</f>
        <v/>
      </c>
      <c r="Z69" s="42" t="n">
        <f aca="false">IF(AND(A69&gt;$E$21,L69&gt;0),A69,"")</f>
        <v>29</v>
      </c>
      <c r="AA69" s="42" t="str">
        <f aca="false">IF(L69&lt;=-Perte_max,A69,"")</f>
        <v/>
      </c>
      <c r="AB69" s="42" t="str">
        <f aca="false">IF(W69="","",IF(AND(A69&gt;$F$21,W69&gt;0),A69,""))</f>
        <v/>
      </c>
      <c r="AC69" s="42" t="str">
        <f aca="false">IF(W69="","",IF(W69&lt;=-Perte_max,A69,""))</f>
        <v/>
      </c>
    </row>
    <row r="70" customFormat="false" ht="15" hidden="false" customHeight="false" outlineLevel="0" collapsed="false">
      <c r="A70" s="39" t="n">
        <v>30</v>
      </c>
      <c r="B70" s="15" t="n">
        <f aca="false">IF(A70&gt;=Semaine_ouverture,$E$9,0)</f>
        <v>23.0769230769231</v>
      </c>
      <c r="C70" s="12" t="n">
        <f aca="false">B70*Panier_HT</f>
        <v>2028.03671813848</v>
      </c>
      <c r="D70" s="12" t="n">
        <f aca="false">C70*Cout_produit_pct</f>
        <v>1419.62570269693</v>
      </c>
      <c r="E70" s="12" t="n">
        <f aca="false">B70*(Frais_paiement_pct*Panier_TTC+Frais_paiement_fixe)</f>
        <v>61.7307692307692</v>
      </c>
      <c r="F70" s="12" t="n">
        <f aca="false">B70*$E$12</f>
        <v>77.4352451433859</v>
      </c>
      <c r="G70" s="12" t="n">
        <f aca="false">B70*Provision_SAV</f>
        <v>23.0769230769231</v>
      </c>
      <c r="H70" s="12" t="n">
        <f aca="false">B70*$E$8</f>
        <v>138.461538461538</v>
      </c>
      <c r="I70" s="40" t="n">
        <f aca="false">C70-D70-E70-F70-G70-H70</f>
        <v>307.706539528926</v>
      </c>
      <c r="J70" s="12" t="n">
        <f aca="false">$E$11</f>
        <v>92.3076923076923</v>
      </c>
      <c r="K70" s="40" t="n">
        <f aca="false">I70-J70</f>
        <v>215.398847221234</v>
      </c>
      <c r="L70" s="25" t="n">
        <f aca="false">SUM($K$41:K70)</f>
        <v>5231.13925852131</v>
      </c>
      <c r="M70" s="14"/>
      <c r="N70" s="11"/>
      <c r="O70" s="11"/>
      <c r="P70" s="11"/>
      <c r="Q70" s="11"/>
      <c r="R70" s="11"/>
      <c r="S70" s="11"/>
      <c r="T70" s="11"/>
      <c r="U70" s="40" t="str">
        <f aca="false">IF(COUNT(M70:T70)=0,"",N70-O70-P70-Q70-R70-S70)</f>
        <v/>
      </c>
      <c r="V70" s="40" t="str">
        <f aca="false">IF(COUNT(M70:T70)=0,"",U70-T70)</f>
        <v/>
      </c>
      <c r="W70" s="29" t="str">
        <f aca="false">IF(V70="","",SUM($V$41:V70))</f>
        <v/>
      </c>
      <c r="X70" s="40" t="str">
        <f aca="false">IF(W70="","",W70-L70)</f>
        <v/>
      </c>
      <c r="Y70" s="41" t="str">
        <f aca="false">IF(W70="","",IF(MIN($W$41:W70)&lt;=-Perte_max,"GEL GLOBAL",IF(V70&lt;0,"semaine négative","OK")))</f>
        <v/>
      </c>
      <c r="Z70" s="42" t="n">
        <f aca="false">IF(AND(A70&gt;$E$21,L70&gt;0),A70,"")</f>
        <v>30</v>
      </c>
      <c r="AA70" s="42" t="str">
        <f aca="false">IF(L70&lt;=-Perte_max,A70,"")</f>
        <v/>
      </c>
      <c r="AB70" s="42" t="str">
        <f aca="false">IF(W70="","",IF(AND(A70&gt;$F$21,W70&gt;0),A70,""))</f>
        <v/>
      </c>
      <c r="AC70" s="42" t="str">
        <f aca="false">IF(W70="","",IF(W70&lt;=-Perte_max,A70,""))</f>
        <v/>
      </c>
    </row>
    <row r="71" customFormat="false" ht="15" hidden="false" customHeight="false" outlineLevel="0" collapsed="false">
      <c r="A71" s="39" t="n">
        <v>31</v>
      </c>
      <c r="B71" s="15" t="n">
        <f aca="false">IF(A71&gt;=Semaine_ouverture,$E$9,0)</f>
        <v>23.0769230769231</v>
      </c>
      <c r="C71" s="12" t="n">
        <f aca="false">B71*Panier_HT</f>
        <v>2028.03671813848</v>
      </c>
      <c r="D71" s="12" t="n">
        <f aca="false">C71*Cout_produit_pct</f>
        <v>1419.62570269693</v>
      </c>
      <c r="E71" s="12" t="n">
        <f aca="false">B71*(Frais_paiement_pct*Panier_TTC+Frais_paiement_fixe)</f>
        <v>61.7307692307692</v>
      </c>
      <c r="F71" s="12" t="n">
        <f aca="false">B71*$E$12</f>
        <v>77.4352451433859</v>
      </c>
      <c r="G71" s="12" t="n">
        <f aca="false">B71*Provision_SAV</f>
        <v>23.0769230769231</v>
      </c>
      <c r="H71" s="12" t="n">
        <f aca="false">B71*$E$8</f>
        <v>138.461538461538</v>
      </c>
      <c r="I71" s="40" t="n">
        <f aca="false">C71-D71-E71-F71-G71-H71</f>
        <v>307.706539528926</v>
      </c>
      <c r="J71" s="12" t="n">
        <f aca="false">$E$11</f>
        <v>92.3076923076923</v>
      </c>
      <c r="K71" s="40" t="n">
        <f aca="false">I71-J71</f>
        <v>215.398847221234</v>
      </c>
      <c r="L71" s="25" t="n">
        <f aca="false">SUM($K$41:K71)</f>
        <v>5446.53810574254</v>
      </c>
      <c r="M71" s="14"/>
      <c r="N71" s="11"/>
      <c r="O71" s="11"/>
      <c r="P71" s="11"/>
      <c r="Q71" s="11"/>
      <c r="R71" s="11"/>
      <c r="S71" s="11"/>
      <c r="T71" s="11"/>
      <c r="U71" s="40" t="str">
        <f aca="false">IF(COUNT(M71:T71)=0,"",N71-O71-P71-Q71-R71-S71)</f>
        <v/>
      </c>
      <c r="V71" s="40" t="str">
        <f aca="false">IF(COUNT(M71:T71)=0,"",U71-T71)</f>
        <v/>
      </c>
      <c r="W71" s="29" t="str">
        <f aca="false">IF(V71="","",SUM($V$41:V71))</f>
        <v/>
      </c>
      <c r="X71" s="40" t="str">
        <f aca="false">IF(W71="","",W71-L71)</f>
        <v/>
      </c>
      <c r="Y71" s="41" t="str">
        <f aca="false">IF(W71="","",IF(MIN($W$41:W71)&lt;=-Perte_max,"GEL GLOBAL",IF(V71&lt;0,"semaine négative","OK")))</f>
        <v/>
      </c>
      <c r="Z71" s="42" t="n">
        <f aca="false">IF(AND(A71&gt;$E$21,L71&gt;0),A71,"")</f>
        <v>31</v>
      </c>
      <c r="AA71" s="42" t="str">
        <f aca="false">IF(L71&lt;=-Perte_max,A71,"")</f>
        <v/>
      </c>
      <c r="AB71" s="42" t="str">
        <f aca="false">IF(W71="","",IF(AND(A71&gt;$F$21,W71&gt;0),A71,""))</f>
        <v/>
      </c>
      <c r="AC71" s="42" t="str">
        <f aca="false">IF(W71="","",IF(W71&lt;=-Perte_max,A71,""))</f>
        <v/>
      </c>
    </row>
    <row r="72" customFormat="false" ht="15" hidden="false" customHeight="false" outlineLevel="0" collapsed="false">
      <c r="A72" s="39" t="n">
        <v>32</v>
      </c>
      <c r="B72" s="15" t="n">
        <f aca="false">IF(A72&gt;=Semaine_ouverture,$E$9,0)</f>
        <v>23.0769230769231</v>
      </c>
      <c r="C72" s="12" t="n">
        <f aca="false">B72*Panier_HT</f>
        <v>2028.03671813848</v>
      </c>
      <c r="D72" s="12" t="n">
        <f aca="false">C72*Cout_produit_pct</f>
        <v>1419.62570269693</v>
      </c>
      <c r="E72" s="12" t="n">
        <f aca="false">B72*(Frais_paiement_pct*Panier_TTC+Frais_paiement_fixe)</f>
        <v>61.7307692307692</v>
      </c>
      <c r="F72" s="12" t="n">
        <f aca="false">B72*$E$12</f>
        <v>77.4352451433859</v>
      </c>
      <c r="G72" s="12" t="n">
        <f aca="false">B72*Provision_SAV</f>
        <v>23.0769230769231</v>
      </c>
      <c r="H72" s="12" t="n">
        <f aca="false">B72*$E$8</f>
        <v>138.461538461538</v>
      </c>
      <c r="I72" s="40" t="n">
        <f aca="false">C72-D72-E72-F72-G72-H72</f>
        <v>307.706539528926</v>
      </c>
      <c r="J72" s="12" t="n">
        <f aca="false">$E$11</f>
        <v>92.3076923076923</v>
      </c>
      <c r="K72" s="40" t="n">
        <f aca="false">I72-J72</f>
        <v>215.398847221234</v>
      </c>
      <c r="L72" s="25" t="n">
        <f aca="false">SUM($K$41:K72)</f>
        <v>5661.93695296378</v>
      </c>
      <c r="M72" s="14"/>
      <c r="N72" s="11"/>
      <c r="O72" s="11"/>
      <c r="P72" s="11"/>
      <c r="Q72" s="11"/>
      <c r="R72" s="11"/>
      <c r="S72" s="11"/>
      <c r="T72" s="11"/>
      <c r="U72" s="40" t="str">
        <f aca="false">IF(COUNT(M72:T72)=0,"",N72-O72-P72-Q72-R72-S72)</f>
        <v/>
      </c>
      <c r="V72" s="40" t="str">
        <f aca="false">IF(COUNT(M72:T72)=0,"",U72-T72)</f>
        <v/>
      </c>
      <c r="W72" s="29" t="str">
        <f aca="false">IF(V72="","",SUM($V$41:V72))</f>
        <v/>
      </c>
      <c r="X72" s="40" t="str">
        <f aca="false">IF(W72="","",W72-L72)</f>
        <v/>
      </c>
      <c r="Y72" s="41" t="str">
        <f aca="false">IF(W72="","",IF(MIN($W$41:W72)&lt;=-Perte_max,"GEL GLOBAL",IF(V72&lt;0,"semaine négative","OK")))</f>
        <v/>
      </c>
      <c r="Z72" s="42" t="n">
        <f aca="false">IF(AND(A72&gt;$E$21,L72&gt;0),A72,"")</f>
        <v>32</v>
      </c>
      <c r="AA72" s="42" t="str">
        <f aca="false">IF(L72&lt;=-Perte_max,A72,"")</f>
        <v/>
      </c>
      <c r="AB72" s="42" t="str">
        <f aca="false">IF(W72="","",IF(AND(A72&gt;$F$21,W72&gt;0),A72,""))</f>
        <v/>
      </c>
      <c r="AC72" s="42" t="str">
        <f aca="false">IF(W72="","",IF(W72&lt;=-Perte_max,A72,""))</f>
        <v/>
      </c>
    </row>
    <row r="73" customFormat="false" ht="15" hidden="false" customHeight="false" outlineLevel="0" collapsed="false">
      <c r="A73" s="39" t="n">
        <v>33</v>
      </c>
      <c r="B73" s="15" t="n">
        <f aca="false">IF(A73&gt;=Semaine_ouverture,$E$9,0)</f>
        <v>23.0769230769231</v>
      </c>
      <c r="C73" s="12" t="n">
        <f aca="false">B73*Panier_HT</f>
        <v>2028.03671813848</v>
      </c>
      <c r="D73" s="12" t="n">
        <f aca="false">C73*Cout_produit_pct</f>
        <v>1419.62570269693</v>
      </c>
      <c r="E73" s="12" t="n">
        <f aca="false">B73*(Frais_paiement_pct*Panier_TTC+Frais_paiement_fixe)</f>
        <v>61.7307692307692</v>
      </c>
      <c r="F73" s="12" t="n">
        <f aca="false">B73*$E$12</f>
        <v>77.4352451433859</v>
      </c>
      <c r="G73" s="12" t="n">
        <f aca="false">B73*Provision_SAV</f>
        <v>23.0769230769231</v>
      </c>
      <c r="H73" s="12" t="n">
        <f aca="false">B73*$E$8</f>
        <v>138.461538461538</v>
      </c>
      <c r="I73" s="40" t="n">
        <f aca="false">C73-D73-E73-F73-G73-H73</f>
        <v>307.706539528926</v>
      </c>
      <c r="J73" s="12" t="n">
        <f aca="false">$E$11</f>
        <v>92.3076923076923</v>
      </c>
      <c r="K73" s="40" t="n">
        <f aca="false">I73-J73</f>
        <v>215.398847221234</v>
      </c>
      <c r="L73" s="25" t="n">
        <f aca="false">SUM($K$41:K73)</f>
        <v>5877.33580018501</v>
      </c>
      <c r="M73" s="14"/>
      <c r="N73" s="11"/>
      <c r="O73" s="11"/>
      <c r="P73" s="11"/>
      <c r="Q73" s="11"/>
      <c r="R73" s="11"/>
      <c r="S73" s="11"/>
      <c r="T73" s="11"/>
      <c r="U73" s="40" t="str">
        <f aca="false">IF(COUNT(M73:T73)=0,"",N73-O73-P73-Q73-R73-S73)</f>
        <v/>
      </c>
      <c r="V73" s="40" t="str">
        <f aca="false">IF(COUNT(M73:T73)=0,"",U73-T73)</f>
        <v/>
      </c>
      <c r="W73" s="29" t="str">
        <f aca="false">IF(V73="","",SUM($V$41:V73))</f>
        <v/>
      </c>
      <c r="X73" s="40" t="str">
        <f aca="false">IF(W73="","",W73-L73)</f>
        <v/>
      </c>
      <c r="Y73" s="41" t="str">
        <f aca="false">IF(W73="","",IF(MIN($W$41:W73)&lt;=-Perte_max,"GEL GLOBAL",IF(V73&lt;0,"semaine négative","OK")))</f>
        <v/>
      </c>
      <c r="Z73" s="42" t="n">
        <f aca="false">IF(AND(A73&gt;$E$21,L73&gt;0),A73,"")</f>
        <v>33</v>
      </c>
      <c r="AA73" s="42" t="str">
        <f aca="false">IF(L73&lt;=-Perte_max,A73,"")</f>
        <v/>
      </c>
      <c r="AB73" s="42" t="str">
        <f aca="false">IF(W73="","",IF(AND(A73&gt;$F$21,W73&gt;0),A73,""))</f>
        <v/>
      </c>
      <c r="AC73" s="42" t="str">
        <f aca="false">IF(W73="","",IF(W73&lt;=-Perte_max,A73,""))</f>
        <v/>
      </c>
    </row>
    <row r="74" customFormat="false" ht="15" hidden="false" customHeight="false" outlineLevel="0" collapsed="false">
      <c r="A74" s="39" t="n">
        <v>34</v>
      </c>
      <c r="B74" s="15" t="n">
        <f aca="false">IF(A74&gt;=Semaine_ouverture,$E$9,0)</f>
        <v>23.0769230769231</v>
      </c>
      <c r="C74" s="12" t="n">
        <f aca="false">B74*Panier_HT</f>
        <v>2028.03671813848</v>
      </c>
      <c r="D74" s="12" t="n">
        <f aca="false">C74*Cout_produit_pct</f>
        <v>1419.62570269693</v>
      </c>
      <c r="E74" s="12" t="n">
        <f aca="false">B74*(Frais_paiement_pct*Panier_TTC+Frais_paiement_fixe)</f>
        <v>61.7307692307692</v>
      </c>
      <c r="F74" s="12" t="n">
        <f aca="false">B74*$E$12</f>
        <v>77.4352451433859</v>
      </c>
      <c r="G74" s="12" t="n">
        <f aca="false">B74*Provision_SAV</f>
        <v>23.0769230769231</v>
      </c>
      <c r="H74" s="12" t="n">
        <f aca="false">B74*$E$8</f>
        <v>138.461538461538</v>
      </c>
      <c r="I74" s="40" t="n">
        <f aca="false">C74-D74-E74-F74-G74-H74</f>
        <v>307.706539528926</v>
      </c>
      <c r="J74" s="12" t="n">
        <f aca="false">$E$11</f>
        <v>92.3076923076923</v>
      </c>
      <c r="K74" s="40" t="n">
        <f aca="false">I74-J74</f>
        <v>215.398847221234</v>
      </c>
      <c r="L74" s="25" t="n">
        <f aca="false">SUM($K$41:K74)</f>
        <v>6092.73464740624</v>
      </c>
      <c r="M74" s="14"/>
      <c r="N74" s="11"/>
      <c r="O74" s="11"/>
      <c r="P74" s="11"/>
      <c r="Q74" s="11"/>
      <c r="R74" s="11"/>
      <c r="S74" s="11"/>
      <c r="T74" s="11"/>
      <c r="U74" s="40" t="str">
        <f aca="false">IF(COUNT(M74:T74)=0,"",N74-O74-P74-Q74-R74-S74)</f>
        <v/>
      </c>
      <c r="V74" s="40" t="str">
        <f aca="false">IF(COUNT(M74:T74)=0,"",U74-T74)</f>
        <v/>
      </c>
      <c r="W74" s="29" t="str">
        <f aca="false">IF(V74="","",SUM($V$41:V74))</f>
        <v/>
      </c>
      <c r="X74" s="40" t="str">
        <f aca="false">IF(W74="","",W74-L74)</f>
        <v/>
      </c>
      <c r="Y74" s="41" t="str">
        <f aca="false">IF(W74="","",IF(MIN($W$41:W74)&lt;=-Perte_max,"GEL GLOBAL",IF(V74&lt;0,"semaine négative","OK")))</f>
        <v/>
      </c>
      <c r="Z74" s="42" t="n">
        <f aca="false">IF(AND(A74&gt;$E$21,L74&gt;0),A74,"")</f>
        <v>34</v>
      </c>
      <c r="AA74" s="42" t="str">
        <f aca="false">IF(L74&lt;=-Perte_max,A74,"")</f>
        <v/>
      </c>
      <c r="AB74" s="42" t="str">
        <f aca="false">IF(W74="","",IF(AND(A74&gt;$F$21,W74&gt;0),A74,""))</f>
        <v/>
      </c>
      <c r="AC74" s="42" t="str">
        <f aca="false">IF(W74="","",IF(W74&lt;=-Perte_max,A74,""))</f>
        <v/>
      </c>
    </row>
    <row r="75" customFormat="false" ht="15" hidden="false" customHeight="false" outlineLevel="0" collapsed="false">
      <c r="A75" s="39" t="n">
        <v>35</v>
      </c>
      <c r="B75" s="15" t="n">
        <f aca="false">IF(A75&gt;=Semaine_ouverture,$E$9,0)</f>
        <v>23.0769230769231</v>
      </c>
      <c r="C75" s="12" t="n">
        <f aca="false">B75*Panier_HT</f>
        <v>2028.03671813848</v>
      </c>
      <c r="D75" s="12" t="n">
        <f aca="false">C75*Cout_produit_pct</f>
        <v>1419.62570269693</v>
      </c>
      <c r="E75" s="12" t="n">
        <f aca="false">B75*(Frais_paiement_pct*Panier_TTC+Frais_paiement_fixe)</f>
        <v>61.7307692307692</v>
      </c>
      <c r="F75" s="12" t="n">
        <f aca="false">B75*$E$12</f>
        <v>77.4352451433859</v>
      </c>
      <c r="G75" s="12" t="n">
        <f aca="false">B75*Provision_SAV</f>
        <v>23.0769230769231</v>
      </c>
      <c r="H75" s="12" t="n">
        <f aca="false">B75*$E$8</f>
        <v>138.461538461538</v>
      </c>
      <c r="I75" s="40" t="n">
        <f aca="false">C75-D75-E75-F75-G75-H75</f>
        <v>307.706539528926</v>
      </c>
      <c r="J75" s="12" t="n">
        <f aca="false">$E$11</f>
        <v>92.3076923076923</v>
      </c>
      <c r="K75" s="40" t="n">
        <f aca="false">I75-J75</f>
        <v>215.398847221234</v>
      </c>
      <c r="L75" s="25" t="n">
        <f aca="false">SUM($K$41:K75)</f>
        <v>6308.13349462748</v>
      </c>
      <c r="M75" s="14"/>
      <c r="N75" s="11"/>
      <c r="O75" s="11"/>
      <c r="P75" s="11"/>
      <c r="Q75" s="11"/>
      <c r="R75" s="11"/>
      <c r="S75" s="11"/>
      <c r="T75" s="11"/>
      <c r="U75" s="40" t="str">
        <f aca="false">IF(COUNT(M75:T75)=0,"",N75-O75-P75-Q75-R75-S75)</f>
        <v/>
      </c>
      <c r="V75" s="40" t="str">
        <f aca="false">IF(COUNT(M75:T75)=0,"",U75-T75)</f>
        <v/>
      </c>
      <c r="W75" s="29" t="str">
        <f aca="false">IF(V75="","",SUM($V$41:V75))</f>
        <v/>
      </c>
      <c r="X75" s="40" t="str">
        <f aca="false">IF(W75="","",W75-L75)</f>
        <v/>
      </c>
      <c r="Y75" s="41" t="str">
        <f aca="false">IF(W75="","",IF(MIN($W$41:W75)&lt;=-Perte_max,"GEL GLOBAL",IF(V75&lt;0,"semaine négative","OK")))</f>
        <v/>
      </c>
      <c r="Z75" s="42" t="n">
        <f aca="false">IF(AND(A75&gt;$E$21,L75&gt;0),A75,"")</f>
        <v>35</v>
      </c>
      <c r="AA75" s="42" t="str">
        <f aca="false">IF(L75&lt;=-Perte_max,A75,"")</f>
        <v/>
      </c>
      <c r="AB75" s="42" t="str">
        <f aca="false">IF(W75="","",IF(AND(A75&gt;$F$21,W75&gt;0),A75,""))</f>
        <v/>
      </c>
      <c r="AC75" s="42" t="str">
        <f aca="false">IF(W75="","",IF(W75&lt;=-Perte_max,A75,""))</f>
        <v/>
      </c>
    </row>
    <row r="76" customFormat="false" ht="15" hidden="false" customHeight="false" outlineLevel="0" collapsed="false">
      <c r="A76" s="39" t="n">
        <v>36</v>
      </c>
      <c r="B76" s="15" t="n">
        <f aca="false">IF(A76&gt;=Semaine_ouverture,$E$9,0)</f>
        <v>23.0769230769231</v>
      </c>
      <c r="C76" s="12" t="n">
        <f aca="false">B76*Panier_HT</f>
        <v>2028.03671813848</v>
      </c>
      <c r="D76" s="12" t="n">
        <f aca="false">C76*Cout_produit_pct</f>
        <v>1419.62570269693</v>
      </c>
      <c r="E76" s="12" t="n">
        <f aca="false">B76*(Frais_paiement_pct*Panier_TTC+Frais_paiement_fixe)</f>
        <v>61.7307692307692</v>
      </c>
      <c r="F76" s="12" t="n">
        <f aca="false">B76*$E$12</f>
        <v>77.4352451433859</v>
      </c>
      <c r="G76" s="12" t="n">
        <f aca="false">B76*Provision_SAV</f>
        <v>23.0769230769231</v>
      </c>
      <c r="H76" s="12" t="n">
        <f aca="false">B76*$E$8</f>
        <v>138.461538461538</v>
      </c>
      <c r="I76" s="40" t="n">
        <f aca="false">C76-D76-E76-F76-G76-H76</f>
        <v>307.706539528926</v>
      </c>
      <c r="J76" s="12" t="n">
        <f aca="false">$E$11</f>
        <v>92.3076923076923</v>
      </c>
      <c r="K76" s="40" t="n">
        <f aca="false">I76-J76</f>
        <v>215.398847221234</v>
      </c>
      <c r="L76" s="25" t="n">
        <f aca="false">SUM($K$41:K76)</f>
        <v>6523.53234184871</v>
      </c>
      <c r="M76" s="14"/>
      <c r="N76" s="11"/>
      <c r="O76" s="11"/>
      <c r="P76" s="11"/>
      <c r="Q76" s="11"/>
      <c r="R76" s="11"/>
      <c r="S76" s="11"/>
      <c r="T76" s="11"/>
      <c r="U76" s="40" t="str">
        <f aca="false">IF(COUNT(M76:T76)=0,"",N76-O76-P76-Q76-R76-S76)</f>
        <v/>
      </c>
      <c r="V76" s="40" t="str">
        <f aca="false">IF(COUNT(M76:T76)=0,"",U76-T76)</f>
        <v/>
      </c>
      <c r="W76" s="29" t="str">
        <f aca="false">IF(V76="","",SUM($V$41:V76))</f>
        <v/>
      </c>
      <c r="X76" s="40" t="str">
        <f aca="false">IF(W76="","",W76-L76)</f>
        <v/>
      </c>
      <c r="Y76" s="41" t="str">
        <f aca="false">IF(W76="","",IF(MIN($W$41:W76)&lt;=-Perte_max,"GEL GLOBAL",IF(V76&lt;0,"semaine négative","OK")))</f>
        <v/>
      </c>
      <c r="Z76" s="42" t="n">
        <f aca="false">IF(AND(A76&gt;$E$21,L76&gt;0),A76,"")</f>
        <v>36</v>
      </c>
      <c r="AA76" s="42" t="str">
        <f aca="false">IF(L76&lt;=-Perte_max,A76,"")</f>
        <v/>
      </c>
      <c r="AB76" s="42" t="str">
        <f aca="false">IF(W76="","",IF(AND(A76&gt;$F$21,W76&gt;0),A76,""))</f>
        <v/>
      </c>
      <c r="AC76" s="42" t="str">
        <f aca="false">IF(W76="","",IF(W76&lt;=-Perte_max,A76,""))</f>
        <v/>
      </c>
    </row>
    <row r="77" customFormat="false" ht="15" hidden="false" customHeight="false" outlineLevel="0" collapsed="false">
      <c r="A77" s="39" t="n">
        <v>37</v>
      </c>
      <c r="B77" s="15" t="n">
        <f aca="false">IF(A77&gt;=Semaine_ouverture,$E$9,0)</f>
        <v>23.0769230769231</v>
      </c>
      <c r="C77" s="12" t="n">
        <f aca="false">B77*Panier_HT</f>
        <v>2028.03671813848</v>
      </c>
      <c r="D77" s="12" t="n">
        <f aca="false">C77*Cout_produit_pct</f>
        <v>1419.62570269693</v>
      </c>
      <c r="E77" s="12" t="n">
        <f aca="false">B77*(Frais_paiement_pct*Panier_TTC+Frais_paiement_fixe)</f>
        <v>61.7307692307692</v>
      </c>
      <c r="F77" s="12" t="n">
        <f aca="false">B77*$E$12</f>
        <v>77.4352451433859</v>
      </c>
      <c r="G77" s="12" t="n">
        <f aca="false">B77*Provision_SAV</f>
        <v>23.0769230769231</v>
      </c>
      <c r="H77" s="12" t="n">
        <f aca="false">B77*$E$8</f>
        <v>138.461538461538</v>
      </c>
      <c r="I77" s="40" t="n">
        <f aca="false">C77-D77-E77-F77-G77-H77</f>
        <v>307.706539528926</v>
      </c>
      <c r="J77" s="12" t="n">
        <f aca="false">$E$11</f>
        <v>92.3076923076923</v>
      </c>
      <c r="K77" s="40" t="n">
        <f aca="false">I77-J77</f>
        <v>215.398847221234</v>
      </c>
      <c r="L77" s="25" t="n">
        <f aca="false">SUM($K$41:K77)</f>
        <v>6738.93118906994</v>
      </c>
      <c r="M77" s="14"/>
      <c r="N77" s="11"/>
      <c r="O77" s="11"/>
      <c r="P77" s="11"/>
      <c r="Q77" s="11"/>
      <c r="R77" s="11"/>
      <c r="S77" s="11"/>
      <c r="T77" s="11"/>
      <c r="U77" s="40" t="str">
        <f aca="false">IF(COUNT(M77:T77)=0,"",N77-O77-P77-Q77-R77-S77)</f>
        <v/>
      </c>
      <c r="V77" s="40" t="str">
        <f aca="false">IF(COUNT(M77:T77)=0,"",U77-T77)</f>
        <v/>
      </c>
      <c r="W77" s="29" t="str">
        <f aca="false">IF(V77="","",SUM($V$41:V77))</f>
        <v/>
      </c>
      <c r="X77" s="40" t="str">
        <f aca="false">IF(W77="","",W77-L77)</f>
        <v/>
      </c>
      <c r="Y77" s="41" t="str">
        <f aca="false">IF(W77="","",IF(MIN($W$41:W77)&lt;=-Perte_max,"GEL GLOBAL",IF(V77&lt;0,"semaine négative","OK")))</f>
        <v/>
      </c>
      <c r="Z77" s="42" t="n">
        <f aca="false">IF(AND(A77&gt;$E$21,L77&gt;0),A77,"")</f>
        <v>37</v>
      </c>
      <c r="AA77" s="42" t="str">
        <f aca="false">IF(L77&lt;=-Perte_max,A77,"")</f>
        <v/>
      </c>
      <c r="AB77" s="42" t="str">
        <f aca="false">IF(W77="","",IF(AND(A77&gt;$F$21,W77&gt;0),A77,""))</f>
        <v/>
      </c>
      <c r="AC77" s="42" t="str">
        <f aca="false">IF(W77="","",IF(W77&lt;=-Perte_max,A77,""))</f>
        <v/>
      </c>
    </row>
    <row r="78" customFormat="false" ht="15" hidden="false" customHeight="false" outlineLevel="0" collapsed="false">
      <c r="A78" s="39" t="n">
        <v>38</v>
      </c>
      <c r="B78" s="15" t="n">
        <f aca="false">IF(A78&gt;=Semaine_ouverture,$E$9,0)</f>
        <v>23.0769230769231</v>
      </c>
      <c r="C78" s="12" t="n">
        <f aca="false">B78*Panier_HT</f>
        <v>2028.03671813848</v>
      </c>
      <c r="D78" s="12" t="n">
        <f aca="false">C78*Cout_produit_pct</f>
        <v>1419.62570269693</v>
      </c>
      <c r="E78" s="12" t="n">
        <f aca="false">B78*(Frais_paiement_pct*Panier_TTC+Frais_paiement_fixe)</f>
        <v>61.7307692307692</v>
      </c>
      <c r="F78" s="12" t="n">
        <f aca="false">B78*$E$12</f>
        <v>77.4352451433859</v>
      </c>
      <c r="G78" s="12" t="n">
        <f aca="false">B78*Provision_SAV</f>
        <v>23.0769230769231</v>
      </c>
      <c r="H78" s="12" t="n">
        <f aca="false">B78*$E$8</f>
        <v>138.461538461538</v>
      </c>
      <c r="I78" s="40" t="n">
        <f aca="false">C78-D78-E78-F78-G78-H78</f>
        <v>307.706539528926</v>
      </c>
      <c r="J78" s="12" t="n">
        <f aca="false">$E$11</f>
        <v>92.3076923076923</v>
      </c>
      <c r="K78" s="40" t="n">
        <f aca="false">I78-J78</f>
        <v>215.398847221234</v>
      </c>
      <c r="L78" s="25" t="n">
        <f aca="false">SUM($K$41:K78)</f>
        <v>6954.33003629118</v>
      </c>
      <c r="M78" s="14"/>
      <c r="N78" s="11"/>
      <c r="O78" s="11"/>
      <c r="P78" s="11"/>
      <c r="Q78" s="11"/>
      <c r="R78" s="11"/>
      <c r="S78" s="11"/>
      <c r="T78" s="11"/>
      <c r="U78" s="40" t="str">
        <f aca="false">IF(COUNT(M78:T78)=0,"",N78-O78-P78-Q78-R78-S78)</f>
        <v/>
      </c>
      <c r="V78" s="40" t="str">
        <f aca="false">IF(COUNT(M78:T78)=0,"",U78-T78)</f>
        <v/>
      </c>
      <c r="W78" s="29" t="str">
        <f aca="false">IF(V78="","",SUM($V$41:V78))</f>
        <v/>
      </c>
      <c r="X78" s="40" t="str">
        <f aca="false">IF(W78="","",W78-L78)</f>
        <v/>
      </c>
      <c r="Y78" s="41" t="str">
        <f aca="false">IF(W78="","",IF(MIN($W$41:W78)&lt;=-Perte_max,"GEL GLOBAL",IF(V78&lt;0,"semaine négative","OK")))</f>
        <v/>
      </c>
      <c r="Z78" s="42" t="n">
        <f aca="false">IF(AND(A78&gt;$E$21,L78&gt;0),A78,"")</f>
        <v>38</v>
      </c>
      <c r="AA78" s="42" t="str">
        <f aca="false">IF(L78&lt;=-Perte_max,A78,"")</f>
        <v/>
      </c>
      <c r="AB78" s="42" t="str">
        <f aca="false">IF(W78="","",IF(AND(A78&gt;$F$21,W78&gt;0),A78,""))</f>
        <v/>
      </c>
      <c r="AC78" s="42" t="str">
        <f aca="false">IF(W78="","",IF(W78&lt;=-Perte_max,A78,""))</f>
        <v/>
      </c>
    </row>
    <row r="79" customFormat="false" ht="15" hidden="false" customHeight="false" outlineLevel="0" collapsed="false">
      <c r="A79" s="39" t="n">
        <v>39</v>
      </c>
      <c r="B79" s="15" t="n">
        <f aca="false">IF(A79&gt;=Semaine_ouverture,$E$9,0)</f>
        <v>23.0769230769231</v>
      </c>
      <c r="C79" s="12" t="n">
        <f aca="false">B79*Panier_HT</f>
        <v>2028.03671813848</v>
      </c>
      <c r="D79" s="12" t="n">
        <f aca="false">C79*Cout_produit_pct</f>
        <v>1419.62570269693</v>
      </c>
      <c r="E79" s="12" t="n">
        <f aca="false">B79*(Frais_paiement_pct*Panier_TTC+Frais_paiement_fixe)</f>
        <v>61.7307692307692</v>
      </c>
      <c r="F79" s="12" t="n">
        <f aca="false">B79*$E$12</f>
        <v>77.4352451433859</v>
      </c>
      <c r="G79" s="12" t="n">
        <f aca="false">B79*Provision_SAV</f>
        <v>23.0769230769231</v>
      </c>
      <c r="H79" s="12" t="n">
        <f aca="false">B79*$E$8</f>
        <v>138.461538461538</v>
      </c>
      <c r="I79" s="40" t="n">
        <f aca="false">C79-D79-E79-F79-G79-H79</f>
        <v>307.706539528926</v>
      </c>
      <c r="J79" s="12" t="n">
        <f aca="false">$E$11</f>
        <v>92.3076923076923</v>
      </c>
      <c r="K79" s="40" t="n">
        <f aca="false">I79-J79</f>
        <v>215.398847221234</v>
      </c>
      <c r="L79" s="25" t="n">
        <f aca="false">SUM($K$41:K79)</f>
        <v>7169.72888351241</v>
      </c>
      <c r="M79" s="14"/>
      <c r="N79" s="11"/>
      <c r="O79" s="11"/>
      <c r="P79" s="11"/>
      <c r="Q79" s="11"/>
      <c r="R79" s="11"/>
      <c r="S79" s="11"/>
      <c r="T79" s="11"/>
      <c r="U79" s="40" t="str">
        <f aca="false">IF(COUNT(M79:T79)=0,"",N79-O79-P79-Q79-R79-S79)</f>
        <v/>
      </c>
      <c r="V79" s="40" t="str">
        <f aca="false">IF(COUNT(M79:T79)=0,"",U79-T79)</f>
        <v/>
      </c>
      <c r="W79" s="29" t="str">
        <f aca="false">IF(V79="","",SUM($V$41:V79))</f>
        <v/>
      </c>
      <c r="X79" s="40" t="str">
        <f aca="false">IF(W79="","",W79-L79)</f>
        <v/>
      </c>
      <c r="Y79" s="41" t="str">
        <f aca="false">IF(W79="","",IF(MIN($W$41:W79)&lt;=-Perte_max,"GEL GLOBAL",IF(V79&lt;0,"semaine négative","OK")))</f>
        <v/>
      </c>
      <c r="Z79" s="42" t="n">
        <f aca="false">IF(AND(A79&gt;$E$21,L79&gt;0),A79,"")</f>
        <v>39</v>
      </c>
      <c r="AA79" s="42" t="str">
        <f aca="false">IF(L79&lt;=-Perte_max,A79,"")</f>
        <v/>
      </c>
      <c r="AB79" s="42" t="str">
        <f aca="false">IF(W79="","",IF(AND(A79&gt;$F$21,W79&gt;0),A79,""))</f>
        <v/>
      </c>
      <c r="AC79" s="42" t="str">
        <f aca="false">IF(W79="","",IF(W79&lt;=-Perte_max,A79,""))</f>
        <v/>
      </c>
    </row>
    <row r="80" customFormat="false" ht="15" hidden="false" customHeight="false" outlineLevel="0" collapsed="false">
      <c r="A80" s="39" t="n">
        <v>40</v>
      </c>
      <c r="B80" s="15" t="n">
        <f aca="false">IF(A80&gt;=Semaine_ouverture,$E$9,0)</f>
        <v>23.0769230769231</v>
      </c>
      <c r="C80" s="12" t="n">
        <f aca="false">B80*Panier_HT</f>
        <v>2028.03671813848</v>
      </c>
      <c r="D80" s="12" t="n">
        <f aca="false">C80*Cout_produit_pct</f>
        <v>1419.62570269693</v>
      </c>
      <c r="E80" s="12" t="n">
        <f aca="false">B80*(Frais_paiement_pct*Panier_TTC+Frais_paiement_fixe)</f>
        <v>61.7307692307692</v>
      </c>
      <c r="F80" s="12" t="n">
        <f aca="false">B80*$E$12</f>
        <v>77.4352451433859</v>
      </c>
      <c r="G80" s="12" t="n">
        <f aca="false">B80*Provision_SAV</f>
        <v>23.0769230769231</v>
      </c>
      <c r="H80" s="12" t="n">
        <f aca="false">B80*$E$8</f>
        <v>138.461538461538</v>
      </c>
      <c r="I80" s="40" t="n">
        <f aca="false">C80-D80-E80-F80-G80-H80</f>
        <v>307.706539528926</v>
      </c>
      <c r="J80" s="12" t="n">
        <f aca="false">$E$11</f>
        <v>92.3076923076923</v>
      </c>
      <c r="K80" s="40" t="n">
        <f aca="false">I80-J80</f>
        <v>215.398847221234</v>
      </c>
      <c r="L80" s="25" t="n">
        <f aca="false">SUM($K$41:K80)</f>
        <v>7385.12773073365</v>
      </c>
      <c r="M80" s="14"/>
      <c r="N80" s="11"/>
      <c r="O80" s="11"/>
      <c r="P80" s="11"/>
      <c r="Q80" s="11"/>
      <c r="R80" s="11"/>
      <c r="S80" s="11"/>
      <c r="T80" s="11"/>
      <c r="U80" s="40" t="str">
        <f aca="false">IF(COUNT(M80:T80)=0,"",N80-O80-P80-Q80-R80-S80)</f>
        <v/>
      </c>
      <c r="V80" s="40" t="str">
        <f aca="false">IF(COUNT(M80:T80)=0,"",U80-T80)</f>
        <v/>
      </c>
      <c r="W80" s="29" t="str">
        <f aca="false">IF(V80="","",SUM($V$41:V80))</f>
        <v/>
      </c>
      <c r="X80" s="40" t="str">
        <f aca="false">IF(W80="","",W80-L80)</f>
        <v/>
      </c>
      <c r="Y80" s="41" t="str">
        <f aca="false">IF(W80="","",IF(MIN($W$41:W80)&lt;=-Perte_max,"GEL GLOBAL",IF(V80&lt;0,"semaine négative","OK")))</f>
        <v/>
      </c>
      <c r="Z80" s="42" t="n">
        <f aca="false">IF(AND(A80&gt;$E$21,L80&gt;0),A80,"")</f>
        <v>40</v>
      </c>
      <c r="AA80" s="42" t="str">
        <f aca="false">IF(L80&lt;=-Perte_max,A80,"")</f>
        <v/>
      </c>
      <c r="AB80" s="42" t="str">
        <f aca="false">IF(W80="","",IF(AND(A80&gt;$F$21,W80&gt;0),A80,""))</f>
        <v/>
      </c>
      <c r="AC80" s="42" t="str">
        <f aca="false">IF(W80="","",IF(W80&lt;=-Perte_max,A80,""))</f>
        <v/>
      </c>
    </row>
    <row r="81" customFormat="false" ht="15" hidden="false" customHeight="false" outlineLevel="0" collapsed="false">
      <c r="A81" s="39" t="n">
        <v>41</v>
      </c>
      <c r="B81" s="15" t="n">
        <f aca="false">IF(A81&gt;=Semaine_ouverture,$E$9,0)</f>
        <v>23.0769230769231</v>
      </c>
      <c r="C81" s="12" t="n">
        <f aca="false">B81*Panier_HT</f>
        <v>2028.03671813848</v>
      </c>
      <c r="D81" s="12" t="n">
        <f aca="false">C81*Cout_produit_pct</f>
        <v>1419.62570269693</v>
      </c>
      <c r="E81" s="12" t="n">
        <f aca="false">B81*(Frais_paiement_pct*Panier_TTC+Frais_paiement_fixe)</f>
        <v>61.7307692307692</v>
      </c>
      <c r="F81" s="12" t="n">
        <f aca="false">B81*$E$12</f>
        <v>77.4352451433859</v>
      </c>
      <c r="G81" s="12" t="n">
        <f aca="false">B81*Provision_SAV</f>
        <v>23.0769230769231</v>
      </c>
      <c r="H81" s="12" t="n">
        <f aca="false">B81*$E$8</f>
        <v>138.461538461538</v>
      </c>
      <c r="I81" s="40" t="n">
        <f aca="false">C81-D81-E81-F81-G81-H81</f>
        <v>307.706539528926</v>
      </c>
      <c r="J81" s="12" t="n">
        <f aca="false">$E$11</f>
        <v>92.3076923076923</v>
      </c>
      <c r="K81" s="40" t="n">
        <f aca="false">I81-J81</f>
        <v>215.398847221234</v>
      </c>
      <c r="L81" s="25" t="n">
        <f aca="false">SUM($K$41:K81)</f>
        <v>7600.52657795488</v>
      </c>
      <c r="M81" s="14"/>
      <c r="N81" s="11"/>
      <c r="O81" s="11"/>
      <c r="P81" s="11"/>
      <c r="Q81" s="11"/>
      <c r="R81" s="11"/>
      <c r="S81" s="11"/>
      <c r="T81" s="11"/>
      <c r="U81" s="40" t="str">
        <f aca="false">IF(COUNT(M81:T81)=0,"",N81-O81-P81-Q81-R81-S81)</f>
        <v/>
      </c>
      <c r="V81" s="40" t="str">
        <f aca="false">IF(COUNT(M81:T81)=0,"",U81-T81)</f>
        <v/>
      </c>
      <c r="W81" s="29" t="str">
        <f aca="false">IF(V81="","",SUM($V$41:V81))</f>
        <v/>
      </c>
      <c r="X81" s="40" t="str">
        <f aca="false">IF(W81="","",W81-L81)</f>
        <v/>
      </c>
      <c r="Y81" s="41" t="str">
        <f aca="false">IF(W81="","",IF(MIN($W$41:W81)&lt;=-Perte_max,"GEL GLOBAL",IF(V81&lt;0,"semaine négative","OK")))</f>
        <v/>
      </c>
      <c r="Z81" s="42" t="n">
        <f aca="false">IF(AND(A81&gt;$E$21,L81&gt;0),A81,"")</f>
        <v>41</v>
      </c>
      <c r="AA81" s="42" t="str">
        <f aca="false">IF(L81&lt;=-Perte_max,A81,"")</f>
        <v/>
      </c>
      <c r="AB81" s="42" t="str">
        <f aca="false">IF(W81="","",IF(AND(A81&gt;$F$21,W81&gt;0),A81,""))</f>
        <v/>
      </c>
      <c r="AC81" s="42" t="str">
        <f aca="false">IF(W81="","",IF(W81&lt;=-Perte_max,A81,""))</f>
        <v/>
      </c>
    </row>
    <row r="82" customFormat="false" ht="15" hidden="false" customHeight="false" outlineLevel="0" collapsed="false">
      <c r="A82" s="39" t="n">
        <v>42</v>
      </c>
      <c r="B82" s="15" t="n">
        <f aca="false">IF(A82&gt;=Semaine_ouverture,$E$9,0)</f>
        <v>23.0769230769231</v>
      </c>
      <c r="C82" s="12" t="n">
        <f aca="false">B82*Panier_HT</f>
        <v>2028.03671813848</v>
      </c>
      <c r="D82" s="12" t="n">
        <f aca="false">C82*Cout_produit_pct</f>
        <v>1419.62570269693</v>
      </c>
      <c r="E82" s="12" t="n">
        <f aca="false">B82*(Frais_paiement_pct*Panier_TTC+Frais_paiement_fixe)</f>
        <v>61.7307692307692</v>
      </c>
      <c r="F82" s="12" t="n">
        <f aca="false">B82*$E$12</f>
        <v>77.4352451433859</v>
      </c>
      <c r="G82" s="12" t="n">
        <f aca="false">B82*Provision_SAV</f>
        <v>23.0769230769231</v>
      </c>
      <c r="H82" s="12" t="n">
        <f aca="false">B82*$E$8</f>
        <v>138.461538461538</v>
      </c>
      <c r="I82" s="40" t="n">
        <f aca="false">C82-D82-E82-F82-G82-H82</f>
        <v>307.706539528926</v>
      </c>
      <c r="J82" s="12" t="n">
        <f aca="false">$E$11</f>
        <v>92.3076923076923</v>
      </c>
      <c r="K82" s="40" t="n">
        <f aca="false">I82-J82</f>
        <v>215.398847221234</v>
      </c>
      <c r="L82" s="25" t="n">
        <f aca="false">SUM($K$41:K82)</f>
        <v>7815.92542517611</v>
      </c>
      <c r="M82" s="14"/>
      <c r="N82" s="11"/>
      <c r="O82" s="11"/>
      <c r="P82" s="11"/>
      <c r="Q82" s="11"/>
      <c r="R82" s="11"/>
      <c r="S82" s="11"/>
      <c r="T82" s="11"/>
      <c r="U82" s="40" t="str">
        <f aca="false">IF(COUNT(M82:T82)=0,"",N82-O82-P82-Q82-R82-S82)</f>
        <v/>
      </c>
      <c r="V82" s="40" t="str">
        <f aca="false">IF(COUNT(M82:T82)=0,"",U82-T82)</f>
        <v/>
      </c>
      <c r="W82" s="29" t="str">
        <f aca="false">IF(V82="","",SUM($V$41:V82))</f>
        <v/>
      </c>
      <c r="X82" s="40" t="str">
        <f aca="false">IF(W82="","",W82-L82)</f>
        <v/>
      </c>
      <c r="Y82" s="41" t="str">
        <f aca="false">IF(W82="","",IF(MIN($W$41:W82)&lt;=-Perte_max,"GEL GLOBAL",IF(V82&lt;0,"semaine négative","OK")))</f>
        <v/>
      </c>
      <c r="Z82" s="42" t="n">
        <f aca="false">IF(AND(A82&gt;$E$21,L82&gt;0),A82,"")</f>
        <v>42</v>
      </c>
      <c r="AA82" s="42" t="str">
        <f aca="false">IF(L82&lt;=-Perte_max,A82,"")</f>
        <v/>
      </c>
      <c r="AB82" s="42" t="str">
        <f aca="false">IF(W82="","",IF(AND(A82&gt;$F$21,W82&gt;0),A82,""))</f>
        <v/>
      </c>
      <c r="AC82" s="42" t="str">
        <f aca="false">IF(W82="","",IF(W82&lt;=-Perte_max,A82,""))</f>
        <v/>
      </c>
    </row>
    <row r="83" customFormat="false" ht="15" hidden="false" customHeight="false" outlineLevel="0" collapsed="false">
      <c r="A83" s="39" t="n">
        <v>43</v>
      </c>
      <c r="B83" s="15" t="n">
        <f aca="false">IF(A83&gt;=Semaine_ouverture,$E$9,0)</f>
        <v>23.0769230769231</v>
      </c>
      <c r="C83" s="12" t="n">
        <f aca="false">B83*Panier_HT</f>
        <v>2028.03671813848</v>
      </c>
      <c r="D83" s="12" t="n">
        <f aca="false">C83*Cout_produit_pct</f>
        <v>1419.62570269693</v>
      </c>
      <c r="E83" s="12" t="n">
        <f aca="false">B83*(Frais_paiement_pct*Panier_TTC+Frais_paiement_fixe)</f>
        <v>61.7307692307692</v>
      </c>
      <c r="F83" s="12" t="n">
        <f aca="false">B83*$E$12</f>
        <v>77.4352451433859</v>
      </c>
      <c r="G83" s="12" t="n">
        <f aca="false">B83*Provision_SAV</f>
        <v>23.0769230769231</v>
      </c>
      <c r="H83" s="12" t="n">
        <f aca="false">B83*$E$8</f>
        <v>138.461538461538</v>
      </c>
      <c r="I83" s="40" t="n">
        <f aca="false">C83-D83-E83-F83-G83-H83</f>
        <v>307.706539528926</v>
      </c>
      <c r="J83" s="12" t="n">
        <f aca="false">$E$11</f>
        <v>92.3076923076923</v>
      </c>
      <c r="K83" s="40" t="n">
        <f aca="false">I83-J83</f>
        <v>215.398847221234</v>
      </c>
      <c r="L83" s="25" t="n">
        <f aca="false">SUM($K$41:K83)</f>
        <v>8031.32427239735</v>
      </c>
      <c r="M83" s="14"/>
      <c r="N83" s="11"/>
      <c r="O83" s="11"/>
      <c r="P83" s="11"/>
      <c r="Q83" s="11"/>
      <c r="R83" s="11"/>
      <c r="S83" s="11"/>
      <c r="T83" s="11"/>
      <c r="U83" s="40" t="str">
        <f aca="false">IF(COUNT(M83:T83)=0,"",N83-O83-P83-Q83-R83-S83)</f>
        <v/>
      </c>
      <c r="V83" s="40" t="str">
        <f aca="false">IF(COUNT(M83:T83)=0,"",U83-T83)</f>
        <v/>
      </c>
      <c r="W83" s="29" t="str">
        <f aca="false">IF(V83="","",SUM($V$41:V83))</f>
        <v/>
      </c>
      <c r="X83" s="40" t="str">
        <f aca="false">IF(W83="","",W83-L83)</f>
        <v/>
      </c>
      <c r="Y83" s="41" t="str">
        <f aca="false">IF(W83="","",IF(MIN($W$41:W83)&lt;=-Perte_max,"GEL GLOBAL",IF(V83&lt;0,"semaine négative","OK")))</f>
        <v/>
      </c>
      <c r="Z83" s="42" t="n">
        <f aca="false">IF(AND(A83&gt;$E$21,L83&gt;0),A83,"")</f>
        <v>43</v>
      </c>
      <c r="AA83" s="42" t="str">
        <f aca="false">IF(L83&lt;=-Perte_max,A83,"")</f>
        <v/>
      </c>
      <c r="AB83" s="42" t="str">
        <f aca="false">IF(W83="","",IF(AND(A83&gt;$F$21,W83&gt;0),A83,""))</f>
        <v/>
      </c>
      <c r="AC83" s="42" t="str">
        <f aca="false">IF(W83="","",IF(W83&lt;=-Perte_max,A83,""))</f>
        <v/>
      </c>
    </row>
    <row r="84" customFormat="false" ht="15" hidden="false" customHeight="false" outlineLevel="0" collapsed="false">
      <c r="A84" s="39" t="n">
        <v>44</v>
      </c>
      <c r="B84" s="15" t="n">
        <f aca="false">IF(A84&gt;=Semaine_ouverture,$E$9,0)</f>
        <v>23.0769230769231</v>
      </c>
      <c r="C84" s="12" t="n">
        <f aca="false">B84*Panier_HT</f>
        <v>2028.03671813848</v>
      </c>
      <c r="D84" s="12" t="n">
        <f aca="false">C84*Cout_produit_pct</f>
        <v>1419.62570269693</v>
      </c>
      <c r="E84" s="12" t="n">
        <f aca="false">B84*(Frais_paiement_pct*Panier_TTC+Frais_paiement_fixe)</f>
        <v>61.7307692307692</v>
      </c>
      <c r="F84" s="12" t="n">
        <f aca="false">B84*$E$12</f>
        <v>77.4352451433859</v>
      </c>
      <c r="G84" s="12" t="n">
        <f aca="false">B84*Provision_SAV</f>
        <v>23.0769230769231</v>
      </c>
      <c r="H84" s="12" t="n">
        <f aca="false">B84*$E$8</f>
        <v>138.461538461538</v>
      </c>
      <c r="I84" s="40" t="n">
        <f aca="false">C84-D84-E84-F84-G84-H84</f>
        <v>307.706539528926</v>
      </c>
      <c r="J84" s="12" t="n">
        <f aca="false">$E$11</f>
        <v>92.3076923076923</v>
      </c>
      <c r="K84" s="40" t="n">
        <f aca="false">I84-J84</f>
        <v>215.398847221234</v>
      </c>
      <c r="L84" s="25" t="n">
        <f aca="false">SUM($K$41:K84)</f>
        <v>8246.72311961858</v>
      </c>
      <c r="M84" s="14"/>
      <c r="N84" s="11"/>
      <c r="O84" s="11"/>
      <c r="P84" s="11"/>
      <c r="Q84" s="11"/>
      <c r="R84" s="11"/>
      <c r="S84" s="11"/>
      <c r="T84" s="11"/>
      <c r="U84" s="40" t="str">
        <f aca="false">IF(COUNT(M84:T84)=0,"",N84-O84-P84-Q84-R84-S84)</f>
        <v/>
      </c>
      <c r="V84" s="40" t="str">
        <f aca="false">IF(COUNT(M84:T84)=0,"",U84-T84)</f>
        <v/>
      </c>
      <c r="W84" s="29" t="str">
        <f aca="false">IF(V84="","",SUM($V$41:V84))</f>
        <v/>
      </c>
      <c r="X84" s="40" t="str">
        <f aca="false">IF(W84="","",W84-L84)</f>
        <v/>
      </c>
      <c r="Y84" s="41" t="str">
        <f aca="false">IF(W84="","",IF(MIN($W$41:W84)&lt;=-Perte_max,"GEL GLOBAL",IF(V84&lt;0,"semaine négative","OK")))</f>
        <v/>
      </c>
      <c r="Z84" s="42" t="n">
        <f aca="false">IF(AND(A84&gt;$E$21,L84&gt;0),A84,"")</f>
        <v>44</v>
      </c>
      <c r="AA84" s="42" t="str">
        <f aca="false">IF(L84&lt;=-Perte_max,A84,"")</f>
        <v/>
      </c>
      <c r="AB84" s="42" t="str">
        <f aca="false">IF(W84="","",IF(AND(A84&gt;$F$21,W84&gt;0),A84,""))</f>
        <v/>
      </c>
      <c r="AC84" s="42" t="str">
        <f aca="false">IF(W84="","",IF(W84&lt;=-Perte_max,A84,""))</f>
        <v/>
      </c>
    </row>
    <row r="85" customFormat="false" ht="15" hidden="false" customHeight="false" outlineLevel="0" collapsed="false">
      <c r="A85" s="39" t="n">
        <v>45</v>
      </c>
      <c r="B85" s="15" t="n">
        <f aca="false">IF(A85&gt;=Semaine_ouverture,$E$9,0)</f>
        <v>23.0769230769231</v>
      </c>
      <c r="C85" s="12" t="n">
        <f aca="false">B85*Panier_HT</f>
        <v>2028.03671813848</v>
      </c>
      <c r="D85" s="12" t="n">
        <f aca="false">C85*Cout_produit_pct</f>
        <v>1419.62570269693</v>
      </c>
      <c r="E85" s="12" t="n">
        <f aca="false">B85*(Frais_paiement_pct*Panier_TTC+Frais_paiement_fixe)</f>
        <v>61.7307692307692</v>
      </c>
      <c r="F85" s="12" t="n">
        <f aca="false">B85*$E$12</f>
        <v>77.4352451433859</v>
      </c>
      <c r="G85" s="12" t="n">
        <f aca="false">B85*Provision_SAV</f>
        <v>23.0769230769231</v>
      </c>
      <c r="H85" s="12" t="n">
        <f aca="false">B85*$E$8</f>
        <v>138.461538461538</v>
      </c>
      <c r="I85" s="40" t="n">
        <f aca="false">C85-D85-E85-F85-G85-H85</f>
        <v>307.706539528926</v>
      </c>
      <c r="J85" s="12" t="n">
        <f aca="false">$E$11</f>
        <v>92.3076923076923</v>
      </c>
      <c r="K85" s="40" t="n">
        <f aca="false">I85-J85</f>
        <v>215.398847221234</v>
      </c>
      <c r="L85" s="25" t="n">
        <f aca="false">SUM($K$41:K85)</f>
        <v>8462.12196683981</v>
      </c>
      <c r="M85" s="14"/>
      <c r="N85" s="11"/>
      <c r="O85" s="11"/>
      <c r="P85" s="11"/>
      <c r="Q85" s="11"/>
      <c r="R85" s="11"/>
      <c r="S85" s="11"/>
      <c r="T85" s="11"/>
      <c r="U85" s="40" t="str">
        <f aca="false">IF(COUNT(M85:T85)=0,"",N85-O85-P85-Q85-R85-S85)</f>
        <v/>
      </c>
      <c r="V85" s="40" t="str">
        <f aca="false">IF(COUNT(M85:T85)=0,"",U85-T85)</f>
        <v/>
      </c>
      <c r="W85" s="29" t="str">
        <f aca="false">IF(V85="","",SUM($V$41:V85))</f>
        <v/>
      </c>
      <c r="X85" s="40" t="str">
        <f aca="false">IF(W85="","",W85-L85)</f>
        <v/>
      </c>
      <c r="Y85" s="41" t="str">
        <f aca="false">IF(W85="","",IF(MIN($W$41:W85)&lt;=-Perte_max,"GEL GLOBAL",IF(V85&lt;0,"semaine négative","OK")))</f>
        <v/>
      </c>
      <c r="Z85" s="42" t="n">
        <f aca="false">IF(AND(A85&gt;$E$21,L85&gt;0),A85,"")</f>
        <v>45</v>
      </c>
      <c r="AA85" s="42" t="str">
        <f aca="false">IF(L85&lt;=-Perte_max,A85,"")</f>
        <v/>
      </c>
      <c r="AB85" s="42" t="str">
        <f aca="false">IF(W85="","",IF(AND(A85&gt;$F$21,W85&gt;0),A85,""))</f>
        <v/>
      </c>
      <c r="AC85" s="42" t="str">
        <f aca="false">IF(W85="","",IF(W85&lt;=-Perte_max,A85,""))</f>
        <v/>
      </c>
    </row>
    <row r="86" customFormat="false" ht="15" hidden="false" customHeight="false" outlineLevel="0" collapsed="false">
      <c r="A86" s="39" t="n">
        <v>46</v>
      </c>
      <c r="B86" s="15" t="n">
        <f aca="false">IF(A86&gt;=Semaine_ouverture,$E$9,0)</f>
        <v>23.0769230769231</v>
      </c>
      <c r="C86" s="12" t="n">
        <f aca="false">B86*Panier_HT</f>
        <v>2028.03671813848</v>
      </c>
      <c r="D86" s="12" t="n">
        <f aca="false">C86*Cout_produit_pct</f>
        <v>1419.62570269693</v>
      </c>
      <c r="E86" s="12" t="n">
        <f aca="false">B86*(Frais_paiement_pct*Panier_TTC+Frais_paiement_fixe)</f>
        <v>61.7307692307692</v>
      </c>
      <c r="F86" s="12" t="n">
        <f aca="false">B86*$E$12</f>
        <v>77.4352451433859</v>
      </c>
      <c r="G86" s="12" t="n">
        <f aca="false">B86*Provision_SAV</f>
        <v>23.0769230769231</v>
      </c>
      <c r="H86" s="12" t="n">
        <f aca="false">B86*$E$8</f>
        <v>138.461538461538</v>
      </c>
      <c r="I86" s="40" t="n">
        <f aca="false">C86-D86-E86-F86-G86-H86</f>
        <v>307.706539528926</v>
      </c>
      <c r="J86" s="12" t="n">
        <f aca="false">$E$11</f>
        <v>92.3076923076923</v>
      </c>
      <c r="K86" s="40" t="n">
        <f aca="false">I86-J86</f>
        <v>215.398847221234</v>
      </c>
      <c r="L86" s="25" t="n">
        <f aca="false">SUM($K$41:K86)</f>
        <v>8677.52081406105</v>
      </c>
      <c r="M86" s="14"/>
      <c r="N86" s="11"/>
      <c r="O86" s="11"/>
      <c r="P86" s="11"/>
      <c r="Q86" s="11"/>
      <c r="R86" s="11"/>
      <c r="S86" s="11"/>
      <c r="T86" s="11"/>
      <c r="U86" s="40" t="str">
        <f aca="false">IF(COUNT(M86:T86)=0,"",N86-O86-P86-Q86-R86-S86)</f>
        <v/>
      </c>
      <c r="V86" s="40" t="str">
        <f aca="false">IF(COUNT(M86:T86)=0,"",U86-T86)</f>
        <v/>
      </c>
      <c r="W86" s="29" t="str">
        <f aca="false">IF(V86="","",SUM($V$41:V86))</f>
        <v/>
      </c>
      <c r="X86" s="40" t="str">
        <f aca="false">IF(W86="","",W86-L86)</f>
        <v/>
      </c>
      <c r="Y86" s="41" t="str">
        <f aca="false">IF(W86="","",IF(MIN($W$41:W86)&lt;=-Perte_max,"GEL GLOBAL",IF(V86&lt;0,"semaine négative","OK")))</f>
        <v/>
      </c>
      <c r="Z86" s="42" t="n">
        <f aca="false">IF(AND(A86&gt;$E$21,L86&gt;0),A86,"")</f>
        <v>46</v>
      </c>
      <c r="AA86" s="42" t="str">
        <f aca="false">IF(L86&lt;=-Perte_max,A86,"")</f>
        <v/>
      </c>
      <c r="AB86" s="42" t="str">
        <f aca="false">IF(W86="","",IF(AND(A86&gt;$F$21,W86&gt;0),A86,""))</f>
        <v/>
      </c>
      <c r="AC86" s="42" t="str">
        <f aca="false">IF(W86="","",IF(W86&lt;=-Perte_max,A86,""))</f>
        <v/>
      </c>
    </row>
    <row r="87" customFormat="false" ht="15" hidden="false" customHeight="false" outlineLevel="0" collapsed="false">
      <c r="A87" s="39" t="n">
        <v>47</v>
      </c>
      <c r="B87" s="15" t="n">
        <f aca="false">IF(A87&gt;=Semaine_ouverture,$E$9,0)</f>
        <v>23.0769230769231</v>
      </c>
      <c r="C87" s="12" t="n">
        <f aca="false">B87*Panier_HT</f>
        <v>2028.03671813848</v>
      </c>
      <c r="D87" s="12" t="n">
        <f aca="false">C87*Cout_produit_pct</f>
        <v>1419.62570269693</v>
      </c>
      <c r="E87" s="12" t="n">
        <f aca="false">B87*(Frais_paiement_pct*Panier_TTC+Frais_paiement_fixe)</f>
        <v>61.7307692307692</v>
      </c>
      <c r="F87" s="12" t="n">
        <f aca="false">B87*$E$12</f>
        <v>77.4352451433859</v>
      </c>
      <c r="G87" s="12" t="n">
        <f aca="false">B87*Provision_SAV</f>
        <v>23.0769230769231</v>
      </c>
      <c r="H87" s="12" t="n">
        <f aca="false">B87*$E$8</f>
        <v>138.461538461538</v>
      </c>
      <c r="I87" s="40" t="n">
        <f aca="false">C87-D87-E87-F87-G87-H87</f>
        <v>307.706539528926</v>
      </c>
      <c r="J87" s="12" t="n">
        <f aca="false">$E$11</f>
        <v>92.3076923076923</v>
      </c>
      <c r="K87" s="40" t="n">
        <f aca="false">I87-J87</f>
        <v>215.398847221234</v>
      </c>
      <c r="L87" s="25" t="n">
        <f aca="false">SUM($K$41:K87)</f>
        <v>8892.91966128228</v>
      </c>
      <c r="M87" s="14"/>
      <c r="N87" s="11"/>
      <c r="O87" s="11"/>
      <c r="P87" s="11"/>
      <c r="Q87" s="11"/>
      <c r="R87" s="11"/>
      <c r="S87" s="11"/>
      <c r="T87" s="11"/>
      <c r="U87" s="40" t="str">
        <f aca="false">IF(COUNT(M87:T87)=0,"",N87-O87-P87-Q87-R87-S87)</f>
        <v/>
      </c>
      <c r="V87" s="40" t="str">
        <f aca="false">IF(COUNT(M87:T87)=0,"",U87-T87)</f>
        <v/>
      </c>
      <c r="W87" s="29" t="str">
        <f aca="false">IF(V87="","",SUM($V$41:V87))</f>
        <v/>
      </c>
      <c r="X87" s="40" t="str">
        <f aca="false">IF(W87="","",W87-L87)</f>
        <v/>
      </c>
      <c r="Y87" s="41" t="str">
        <f aca="false">IF(W87="","",IF(MIN($W$41:W87)&lt;=-Perte_max,"GEL GLOBAL",IF(V87&lt;0,"semaine négative","OK")))</f>
        <v/>
      </c>
      <c r="Z87" s="42" t="n">
        <f aca="false">IF(AND(A87&gt;$E$21,L87&gt;0),A87,"")</f>
        <v>47</v>
      </c>
      <c r="AA87" s="42" t="str">
        <f aca="false">IF(L87&lt;=-Perte_max,A87,"")</f>
        <v/>
      </c>
      <c r="AB87" s="42" t="str">
        <f aca="false">IF(W87="","",IF(AND(A87&gt;$F$21,W87&gt;0),A87,""))</f>
        <v/>
      </c>
      <c r="AC87" s="42" t="str">
        <f aca="false">IF(W87="","",IF(W87&lt;=-Perte_max,A87,""))</f>
        <v/>
      </c>
    </row>
    <row r="88" customFormat="false" ht="15" hidden="false" customHeight="false" outlineLevel="0" collapsed="false">
      <c r="A88" s="39" t="n">
        <v>48</v>
      </c>
      <c r="B88" s="15" t="n">
        <f aca="false">IF(A88&gt;=Semaine_ouverture,$E$9,0)</f>
        <v>23.0769230769231</v>
      </c>
      <c r="C88" s="12" t="n">
        <f aca="false">B88*Panier_HT</f>
        <v>2028.03671813848</v>
      </c>
      <c r="D88" s="12" t="n">
        <f aca="false">C88*Cout_produit_pct</f>
        <v>1419.62570269693</v>
      </c>
      <c r="E88" s="12" t="n">
        <f aca="false">B88*(Frais_paiement_pct*Panier_TTC+Frais_paiement_fixe)</f>
        <v>61.7307692307692</v>
      </c>
      <c r="F88" s="12" t="n">
        <f aca="false">B88*$E$12</f>
        <v>77.4352451433859</v>
      </c>
      <c r="G88" s="12" t="n">
        <f aca="false">B88*Provision_SAV</f>
        <v>23.0769230769231</v>
      </c>
      <c r="H88" s="12" t="n">
        <f aca="false">B88*$E$8</f>
        <v>138.461538461538</v>
      </c>
      <c r="I88" s="40" t="n">
        <f aca="false">C88-D88-E88-F88-G88-H88</f>
        <v>307.706539528926</v>
      </c>
      <c r="J88" s="12" t="n">
        <f aca="false">$E$11</f>
        <v>92.3076923076923</v>
      </c>
      <c r="K88" s="40" t="n">
        <f aca="false">I88-J88</f>
        <v>215.398847221234</v>
      </c>
      <c r="L88" s="25" t="n">
        <f aca="false">SUM($K$41:K88)</f>
        <v>9108.31850850352</v>
      </c>
      <c r="M88" s="14"/>
      <c r="N88" s="11"/>
      <c r="O88" s="11"/>
      <c r="P88" s="11"/>
      <c r="Q88" s="11"/>
      <c r="R88" s="11"/>
      <c r="S88" s="11"/>
      <c r="T88" s="11"/>
      <c r="U88" s="40" t="str">
        <f aca="false">IF(COUNT(M88:T88)=0,"",N88-O88-P88-Q88-R88-S88)</f>
        <v/>
      </c>
      <c r="V88" s="40" t="str">
        <f aca="false">IF(COUNT(M88:T88)=0,"",U88-T88)</f>
        <v/>
      </c>
      <c r="W88" s="29" t="str">
        <f aca="false">IF(V88="","",SUM($V$41:V88))</f>
        <v/>
      </c>
      <c r="X88" s="40" t="str">
        <f aca="false">IF(W88="","",W88-L88)</f>
        <v/>
      </c>
      <c r="Y88" s="41" t="str">
        <f aca="false">IF(W88="","",IF(MIN($W$41:W88)&lt;=-Perte_max,"GEL GLOBAL",IF(V88&lt;0,"semaine négative","OK")))</f>
        <v/>
      </c>
      <c r="Z88" s="42" t="n">
        <f aca="false">IF(AND(A88&gt;$E$21,L88&gt;0),A88,"")</f>
        <v>48</v>
      </c>
      <c r="AA88" s="42" t="str">
        <f aca="false">IF(L88&lt;=-Perte_max,A88,"")</f>
        <v/>
      </c>
      <c r="AB88" s="42" t="str">
        <f aca="false">IF(W88="","",IF(AND(A88&gt;$F$21,W88&gt;0),A88,""))</f>
        <v/>
      </c>
      <c r="AC88" s="42" t="str">
        <f aca="false">IF(W88="","",IF(W88&lt;=-Perte_max,A88,""))</f>
        <v/>
      </c>
    </row>
    <row r="89" customFormat="false" ht="15" hidden="false" customHeight="false" outlineLevel="0" collapsed="false">
      <c r="A89" s="39" t="n">
        <v>49</v>
      </c>
      <c r="B89" s="15" t="n">
        <f aca="false">IF(A89&gt;=Semaine_ouverture,$E$9,0)</f>
        <v>23.0769230769231</v>
      </c>
      <c r="C89" s="12" t="n">
        <f aca="false">B89*Panier_HT</f>
        <v>2028.03671813848</v>
      </c>
      <c r="D89" s="12" t="n">
        <f aca="false">C89*Cout_produit_pct</f>
        <v>1419.62570269693</v>
      </c>
      <c r="E89" s="12" t="n">
        <f aca="false">B89*(Frais_paiement_pct*Panier_TTC+Frais_paiement_fixe)</f>
        <v>61.7307692307692</v>
      </c>
      <c r="F89" s="12" t="n">
        <f aca="false">B89*$E$12</f>
        <v>77.4352451433859</v>
      </c>
      <c r="G89" s="12" t="n">
        <f aca="false">B89*Provision_SAV</f>
        <v>23.0769230769231</v>
      </c>
      <c r="H89" s="12" t="n">
        <f aca="false">B89*$E$8</f>
        <v>138.461538461538</v>
      </c>
      <c r="I89" s="40" t="n">
        <f aca="false">C89-D89-E89-F89-G89-H89</f>
        <v>307.706539528926</v>
      </c>
      <c r="J89" s="12" t="n">
        <f aca="false">$E$11</f>
        <v>92.3076923076923</v>
      </c>
      <c r="K89" s="40" t="n">
        <f aca="false">I89-J89</f>
        <v>215.398847221234</v>
      </c>
      <c r="L89" s="25" t="n">
        <f aca="false">SUM($K$41:K89)</f>
        <v>9323.71735572475</v>
      </c>
      <c r="M89" s="14"/>
      <c r="N89" s="11"/>
      <c r="O89" s="11"/>
      <c r="P89" s="11"/>
      <c r="Q89" s="11"/>
      <c r="R89" s="11"/>
      <c r="S89" s="11"/>
      <c r="T89" s="11"/>
      <c r="U89" s="40" t="str">
        <f aca="false">IF(COUNT(M89:T89)=0,"",N89-O89-P89-Q89-R89-S89)</f>
        <v/>
      </c>
      <c r="V89" s="40" t="str">
        <f aca="false">IF(COUNT(M89:T89)=0,"",U89-T89)</f>
        <v/>
      </c>
      <c r="W89" s="29" t="str">
        <f aca="false">IF(V89="","",SUM($V$41:V89))</f>
        <v/>
      </c>
      <c r="X89" s="40" t="str">
        <f aca="false">IF(W89="","",W89-L89)</f>
        <v/>
      </c>
      <c r="Y89" s="41" t="str">
        <f aca="false">IF(W89="","",IF(MIN($W$41:W89)&lt;=-Perte_max,"GEL GLOBAL",IF(V89&lt;0,"semaine négative","OK")))</f>
        <v/>
      </c>
      <c r="Z89" s="42" t="n">
        <f aca="false">IF(AND(A89&gt;$E$21,L89&gt;0),A89,"")</f>
        <v>49</v>
      </c>
      <c r="AA89" s="42" t="str">
        <f aca="false">IF(L89&lt;=-Perte_max,A89,"")</f>
        <v/>
      </c>
      <c r="AB89" s="42" t="str">
        <f aca="false">IF(W89="","",IF(AND(A89&gt;$F$21,W89&gt;0),A89,""))</f>
        <v/>
      </c>
      <c r="AC89" s="42" t="str">
        <f aca="false">IF(W89="","",IF(W89&lt;=-Perte_max,A89,""))</f>
        <v/>
      </c>
    </row>
    <row r="90" customFormat="false" ht="15" hidden="false" customHeight="false" outlineLevel="0" collapsed="false">
      <c r="A90" s="39" t="n">
        <v>50</v>
      </c>
      <c r="B90" s="15" t="n">
        <f aca="false">IF(A90&gt;=Semaine_ouverture,$E$9,0)</f>
        <v>23.0769230769231</v>
      </c>
      <c r="C90" s="12" t="n">
        <f aca="false">B90*Panier_HT</f>
        <v>2028.03671813848</v>
      </c>
      <c r="D90" s="12" t="n">
        <f aca="false">C90*Cout_produit_pct</f>
        <v>1419.62570269693</v>
      </c>
      <c r="E90" s="12" t="n">
        <f aca="false">B90*(Frais_paiement_pct*Panier_TTC+Frais_paiement_fixe)</f>
        <v>61.7307692307692</v>
      </c>
      <c r="F90" s="12" t="n">
        <f aca="false">B90*$E$12</f>
        <v>77.4352451433859</v>
      </c>
      <c r="G90" s="12" t="n">
        <f aca="false">B90*Provision_SAV</f>
        <v>23.0769230769231</v>
      </c>
      <c r="H90" s="12" t="n">
        <f aca="false">B90*$E$8</f>
        <v>138.461538461538</v>
      </c>
      <c r="I90" s="40" t="n">
        <f aca="false">C90-D90-E90-F90-G90-H90</f>
        <v>307.706539528926</v>
      </c>
      <c r="J90" s="12" t="n">
        <f aca="false">$E$11</f>
        <v>92.3076923076923</v>
      </c>
      <c r="K90" s="40" t="n">
        <f aca="false">I90-J90</f>
        <v>215.398847221234</v>
      </c>
      <c r="L90" s="25" t="n">
        <f aca="false">SUM($K$41:K90)</f>
        <v>9539.11620294598</v>
      </c>
      <c r="M90" s="14"/>
      <c r="N90" s="11"/>
      <c r="O90" s="11"/>
      <c r="P90" s="11"/>
      <c r="Q90" s="11"/>
      <c r="R90" s="11"/>
      <c r="S90" s="11"/>
      <c r="T90" s="11"/>
      <c r="U90" s="40" t="str">
        <f aca="false">IF(COUNT(M90:T90)=0,"",N90-O90-P90-Q90-R90-S90)</f>
        <v/>
      </c>
      <c r="V90" s="40" t="str">
        <f aca="false">IF(COUNT(M90:T90)=0,"",U90-T90)</f>
        <v/>
      </c>
      <c r="W90" s="29" t="str">
        <f aca="false">IF(V90="","",SUM($V$41:V90))</f>
        <v/>
      </c>
      <c r="X90" s="40" t="str">
        <f aca="false">IF(W90="","",W90-L90)</f>
        <v/>
      </c>
      <c r="Y90" s="41" t="str">
        <f aca="false">IF(W90="","",IF(MIN($W$41:W90)&lt;=-Perte_max,"GEL GLOBAL",IF(V90&lt;0,"semaine négative","OK")))</f>
        <v/>
      </c>
      <c r="Z90" s="42" t="n">
        <f aca="false">IF(AND(A90&gt;$E$21,L90&gt;0),A90,"")</f>
        <v>50</v>
      </c>
      <c r="AA90" s="42" t="str">
        <f aca="false">IF(L90&lt;=-Perte_max,A90,"")</f>
        <v/>
      </c>
      <c r="AB90" s="42" t="str">
        <f aca="false">IF(W90="","",IF(AND(A90&gt;$F$21,W90&gt;0),A90,""))</f>
        <v/>
      </c>
      <c r="AC90" s="42" t="str">
        <f aca="false">IF(W90="","",IF(W90&lt;=-Perte_max,A90,""))</f>
        <v/>
      </c>
    </row>
    <row r="91" customFormat="false" ht="15" hidden="false" customHeight="false" outlineLevel="0" collapsed="false">
      <c r="A91" s="39" t="n">
        <v>51</v>
      </c>
      <c r="B91" s="15" t="n">
        <f aca="false">IF(A91&gt;=Semaine_ouverture,$E$9,0)</f>
        <v>23.0769230769231</v>
      </c>
      <c r="C91" s="12" t="n">
        <f aca="false">B91*Panier_HT</f>
        <v>2028.03671813848</v>
      </c>
      <c r="D91" s="12" t="n">
        <f aca="false">C91*Cout_produit_pct</f>
        <v>1419.62570269693</v>
      </c>
      <c r="E91" s="12" t="n">
        <f aca="false">B91*(Frais_paiement_pct*Panier_TTC+Frais_paiement_fixe)</f>
        <v>61.7307692307692</v>
      </c>
      <c r="F91" s="12" t="n">
        <f aca="false">B91*$E$12</f>
        <v>77.4352451433859</v>
      </c>
      <c r="G91" s="12" t="n">
        <f aca="false">B91*Provision_SAV</f>
        <v>23.0769230769231</v>
      </c>
      <c r="H91" s="12" t="n">
        <f aca="false">B91*$E$8</f>
        <v>138.461538461538</v>
      </c>
      <c r="I91" s="40" t="n">
        <f aca="false">C91-D91-E91-F91-G91-H91</f>
        <v>307.706539528926</v>
      </c>
      <c r="J91" s="12" t="n">
        <f aca="false">$E$11</f>
        <v>92.3076923076923</v>
      </c>
      <c r="K91" s="40" t="n">
        <f aca="false">I91-J91</f>
        <v>215.398847221234</v>
      </c>
      <c r="L91" s="25" t="n">
        <f aca="false">SUM($K$41:K91)</f>
        <v>9754.51505016722</v>
      </c>
      <c r="M91" s="14"/>
      <c r="N91" s="11"/>
      <c r="O91" s="11"/>
      <c r="P91" s="11"/>
      <c r="Q91" s="11"/>
      <c r="R91" s="11"/>
      <c r="S91" s="11"/>
      <c r="T91" s="11"/>
      <c r="U91" s="40" t="str">
        <f aca="false">IF(COUNT(M91:T91)=0,"",N91-O91-P91-Q91-R91-S91)</f>
        <v/>
      </c>
      <c r="V91" s="40" t="str">
        <f aca="false">IF(COUNT(M91:T91)=0,"",U91-T91)</f>
        <v/>
      </c>
      <c r="W91" s="29" t="str">
        <f aca="false">IF(V91="","",SUM($V$41:V91))</f>
        <v/>
      </c>
      <c r="X91" s="40" t="str">
        <f aca="false">IF(W91="","",W91-L91)</f>
        <v/>
      </c>
      <c r="Y91" s="41" t="str">
        <f aca="false">IF(W91="","",IF(MIN($W$41:W91)&lt;=-Perte_max,"GEL GLOBAL",IF(V91&lt;0,"semaine négative","OK")))</f>
        <v/>
      </c>
      <c r="Z91" s="42" t="n">
        <f aca="false">IF(AND(A91&gt;$E$21,L91&gt;0),A91,"")</f>
        <v>51</v>
      </c>
      <c r="AA91" s="42" t="str">
        <f aca="false">IF(L91&lt;=-Perte_max,A91,"")</f>
        <v/>
      </c>
      <c r="AB91" s="42" t="str">
        <f aca="false">IF(W91="","",IF(AND(A91&gt;$F$21,W91&gt;0),A91,""))</f>
        <v/>
      </c>
      <c r="AC91" s="42" t="str">
        <f aca="false">IF(W91="","",IF(W91&lt;=-Perte_max,A91,""))</f>
        <v/>
      </c>
    </row>
    <row r="92" customFormat="false" ht="15" hidden="false" customHeight="false" outlineLevel="0" collapsed="false">
      <c r="A92" s="39" t="n">
        <v>52</v>
      </c>
      <c r="B92" s="15" t="n">
        <f aca="false">IF(A92&gt;=Semaine_ouverture,$E$9,0)</f>
        <v>23.0769230769231</v>
      </c>
      <c r="C92" s="12" t="n">
        <f aca="false">B92*Panier_HT</f>
        <v>2028.03671813848</v>
      </c>
      <c r="D92" s="12" t="n">
        <f aca="false">C92*Cout_produit_pct</f>
        <v>1419.62570269693</v>
      </c>
      <c r="E92" s="12" t="n">
        <f aca="false">B92*(Frais_paiement_pct*Panier_TTC+Frais_paiement_fixe)</f>
        <v>61.7307692307692</v>
      </c>
      <c r="F92" s="12" t="n">
        <f aca="false">B92*$E$12</f>
        <v>77.4352451433859</v>
      </c>
      <c r="G92" s="12" t="n">
        <f aca="false">B92*Provision_SAV</f>
        <v>23.0769230769231</v>
      </c>
      <c r="H92" s="12" t="n">
        <f aca="false">B92*$E$8</f>
        <v>138.461538461538</v>
      </c>
      <c r="I92" s="40" t="n">
        <f aca="false">C92-D92-E92-F92-G92-H92</f>
        <v>307.706539528926</v>
      </c>
      <c r="J92" s="12" t="n">
        <f aca="false">$E$11</f>
        <v>92.3076923076923</v>
      </c>
      <c r="K92" s="40" t="n">
        <f aca="false">I92-J92</f>
        <v>215.398847221234</v>
      </c>
      <c r="L92" s="25" t="n">
        <f aca="false">SUM($K$41:K92)</f>
        <v>9969.91389738845</v>
      </c>
      <c r="M92" s="14"/>
      <c r="N92" s="11"/>
      <c r="O92" s="11"/>
      <c r="P92" s="11"/>
      <c r="Q92" s="11"/>
      <c r="R92" s="11"/>
      <c r="S92" s="11"/>
      <c r="T92" s="11"/>
      <c r="U92" s="40" t="str">
        <f aca="false">IF(COUNT(M92:T92)=0,"",N92-O92-P92-Q92-R92-S92)</f>
        <v/>
      </c>
      <c r="V92" s="40" t="str">
        <f aca="false">IF(COUNT(M92:T92)=0,"",U92-T92)</f>
        <v/>
      </c>
      <c r="W92" s="29" t="str">
        <f aca="false">IF(V92="","",SUM($V$41:V92))</f>
        <v/>
      </c>
      <c r="X92" s="40" t="str">
        <f aca="false">IF(W92="","",W92-L92)</f>
        <v/>
      </c>
      <c r="Y92" s="41" t="str">
        <f aca="false">IF(W92="","",IF(MIN($W$41:W92)&lt;=-Perte_max,"GEL GLOBAL",IF(V92&lt;0,"semaine négative","OK")))</f>
        <v/>
      </c>
      <c r="Z92" s="42" t="n">
        <f aca="false">IF(AND(A92&gt;$E$21,L92&gt;0),A92,"")</f>
        <v>52</v>
      </c>
      <c r="AA92" s="42" t="str">
        <f aca="false">IF(L92&lt;=-Perte_max,A92,"")</f>
        <v/>
      </c>
      <c r="AB92" s="42" t="str">
        <f aca="false">IF(W92="","",IF(AND(A92&gt;$F$21,W92&gt;0),A92,""))</f>
        <v/>
      </c>
      <c r="AC92" s="42" t="str">
        <f aca="false">IF(W92="","",IF(W92&lt;=-Perte_max,A92,""))</f>
        <v/>
      </c>
    </row>
  </sheetData>
  <mergeCells count="82">
    <mergeCell ref="A3:Y3"/>
    <mergeCell ref="A6:D6"/>
    <mergeCell ref="F6:Q6"/>
    <mergeCell ref="A7:D7"/>
    <mergeCell ref="F7:Q7"/>
    <mergeCell ref="A8:D8"/>
    <mergeCell ref="F8:Q8"/>
    <mergeCell ref="A9:D9"/>
    <mergeCell ref="F9:Q9"/>
    <mergeCell ref="A10:D10"/>
    <mergeCell ref="F10:Q10"/>
    <mergeCell ref="A11:D11"/>
    <mergeCell ref="F11:Q11"/>
    <mergeCell ref="A12:D12"/>
    <mergeCell ref="F12:Q12"/>
    <mergeCell ref="A13:D13"/>
    <mergeCell ref="F13:Q13"/>
    <mergeCell ref="A14:D14"/>
    <mergeCell ref="F14:Q14"/>
    <mergeCell ref="A17:D17"/>
    <mergeCell ref="G17:Q17"/>
    <mergeCell ref="A18:D18"/>
    <mergeCell ref="G18:Q18"/>
    <mergeCell ref="A19:D19"/>
    <mergeCell ref="G19:Q19"/>
    <mergeCell ref="A20:D20"/>
    <mergeCell ref="G20:Q20"/>
    <mergeCell ref="A21:D21"/>
    <mergeCell ref="G21:Q21"/>
    <mergeCell ref="A22:D22"/>
    <mergeCell ref="G22:Q22"/>
    <mergeCell ref="A23:D23"/>
    <mergeCell ref="G23:Q23"/>
    <mergeCell ref="A24:D24"/>
    <mergeCell ref="G24:Q24"/>
    <mergeCell ref="A25:D25"/>
    <mergeCell ref="G25:Q25"/>
    <mergeCell ref="A26:D26"/>
    <mergeCell ref="G26:Q26"/>
    <mergeCell ref="A27:D27"/>
    <mergeCell ref="G27:Q27"/>
    <mergeCell ref="A28:D28"/>
    <mergeCell ref="G28:Q28"/>
    <mergeCell ref="A31:B31"/>
    <mergeCell ref="C31:G31"/>
    <mergeCell ref="H31:I31"/>
    <mergeCell ref="J31:O31"/>
    <mergeCell ref="P31:U31"/>
    <mergeCell ref="A32:B32"/>
    <mergeCell ref="C32:G32"/>
    <mergeCell ref="H32:I32"/>
    <mergeCell ref="J32:O32"/>
    <mergeCell ref="P32:U32"/>
    <mergeCell ref="A33:B33"/>
    <mergeCell ref="C33:G33"/>
    <mergeCell ref="H33:I33"/>
    <mergeCell ref="J33:O33"/>
    <mergeCell ref="P33:U33"/>
    <mergeCell ref="A34:B34"/>
    <mergeCell ref="C34:G34"/>
    <mergeCell ref="H34:I34"/>
    <mergeCell ref="J34:O34"/>
    <mergeCell ref="P34:U34"/>
    <mergeCell ref="A35:B35"/>
    <mergeCell ref="C35:G35"/>
    <mergeCell ref="H35:I35"/>
    <mergeCell ref="J35:O35"/>
    <mergeCell ref="P35:U35"/>
    <mergeCell ref="A36:B36"/>
    <mergeCell ref="C36:G36"/>
    <mergeCell ref="H36:I36"/>
    <mergeCell ref="J36:O36"/>
    <mergeCell ref="P36:U36"/>
    <mergeCell ref="A37:B37"/>
    <mergeCell ref="C37:G37"/>
    <mergeCell ref="H37:I37"/>
    <mergeCell ref="J37:O37"/>
    <mergeCell ref="P37:U37"/>
    <mergeCell ref="B39:L39"/>
    <mergeCell ref="M39:T39"/>
    <mergeCell ref="U39:Y39"/>
    <mergeCell ref="Z39:AC39"/>
  </mergeCells>
  <conditionalFormatting sqref="E23:F23">
    <cfRule type="expression" priority="2" aboveAverage="0" equalAverage="0" bottom="0" percent="0" rank="0" text="" dxfId="0">
      <formula>LEFT(E23,3)="OUI"</formula>
    </cfRule>
  </conditionalFormatting>
  <conditionalFormatting sqref="E26:F28">
    <cfRule type="expression" priority="3" aboveAverage="0" equalAverage="0" bottom="0" percent="0" rank="0" text="" dxfId="0">
      <formula>E26="NON"</formula>
    </cfRule>
  </conditionalFormatting>
  <conditionalFormatting sqref="Y41:Y92">
    <cfRule type="cellIs" priority="4" operator="equal" aboveAverage="0" equalAverage="0" bottom="0" percent="0" rank="0" text="" dxfId="0">
      <formula>"GEL GLOBAL"</formula>
    </cfRule>
    <cfRule type="cellIs" priority="5" operator="equal" aboveAverage="0" equalAverage="0" bottom="0" percent="0" rank="0" text="" dxfId="1">
      <formula>"semaine négative"</formula>
    </cfRule>
  </conditionalFormatting>
  <conditionalFormatting sqref="L41:L92">
    <cfRule type="cellIs" priority="6" operator="lessThanOrEqual" aboveAverage="0" equalAverage="0" bottom="0" percent="0" rank="0" text="" dxfId="0">
      <formula>-Perte_max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6" t="s">
        <v>227</v>
      </c>
      <c r="B4" s="6" t="s">
        <v>228</v>
      </c>
      <c r="C4" s="6" t="s">
        <v>229</v>
      </c>
      <c r="D4" s="6" t="s">
        <v>230</v>
      </c>
    </row>
    <row r="5" customFormat="false" ht="15" hidden="false" customHeight="false" outlineLevel="0" collapsed="false">
      <c r="A5" s="7" t="s">
        <v>231</v>
      </c>
      <c r="B5" s="10" t="n">
        <v>3000</v>
      </c>
      <c r="C5" s="7" t="s">
        <v>232</v>
      </c>
      <c r="D5" s="7" t="s">
        <v>233</v>
      </c>
    </row>
    <row r="6" customFormat="false" ht="15" hidden="false" customHeight="false" outlineLevel="0" collapsed="false">
      <c r="A6" s="7" t="s">
        <v>234</v>
      </c>
      <c r="B6" s="10" t="n">
        <v>1500</v>
      </c>
      <c r="C6" s="7" t="s">
        <v>235</v>
      </c>
      <c r="D6" s="7" t="s">
        <v>236</v>
      </c>
    </row>
    <row r="7" customFormat="false" ht="15" hidden="false" customHeight="false" outlineLevel="0" collapsed="false">
      <c r="A7" s="7" t="s">
        <v>237</v>
      </c>
      <c r="B7" s="10" t="n">
        <v>400</v>
      </c>
      <c r="C7" s="7" t="s">
        <v>238</v>
      </c>
      <c r="D7" s="7" t="s">
        <v>236</v>
      </c>
    </row>
    <row r="8" customFormat="false" ht="15" hidden="false" customHeight="false" outlineLevel="0" collapsed="false">
      <c r="A8" s="7" t="s">
        <v>239</v>
      </c>
      <c r="B8" s="10" t="n">
        <v>700</v>
      </c>
      <c r="C8" s="7" t="s">
        <v>240</v>
      </c>
      <c r="D8" s="7" t="s">
        <v>236</v>
      </c>
    </row>
    <row r="9" customFormat="false" ht="15" hidden="false" customHeight="false" outlineLevel="0" collapsed="false">
      <c r="A9" s="7" t="s">
        <v>241</v>
      </c>
      <c r="B9" s="10" t="n">
        <v>300</v>
      </c>
      <c r="C9" s="7" t="s">
        <v>242</v>
      </c>
      <c r="D9" s="7" t="s">
        <v>236</v>
      </c>
    </row>
    <row r="10" customFormat="false" ht="15" hidden="false" customHeight="false" outlineLevel="0" collapsed="false">
      <c r="A10" s="7" t="s">
        <v>243</v>
      </c>
      <c r="B10" s="10" t="n">
        <v>500</v>
      </c>
      <c r="C10" s="7" t="s">
        <v>244</v>
      </c>
      <c r="D10" s="7" t="s">
        <v>245</v>
      </c>
    </row>
    <row r="11" customFormat="false" ht="15" hidden="false" customHeight="false" outlineLevel="0" collapsed="false">
      <c r="A11" s="7" t="s">
        <v>246</v>
      </c>
      <c r="B11" s="10" t="n">
        <v>1600</v>
      </c>
      <c r="C11" s="7" t="s">
        <v>247</v>
      </c>
      <c r="D11" s="7" t="s">
        <v>248</v>
      </c>
    </row>
    <row r="12" customFormat="false" ht="15" hidden="false" customHeight="false" outlineLevel="0" collapsed="false">
      <c r="A12" s="43" t="s">
        <v>249</v>
      </c>
      <c r="B12" s="44" t="n">
        <f aca="false">SUM(B5:B11)</f>
        <v>8000</v>
      </c>
    </row>
    <row r="13" customFormat="false" ht="15" hidden="false" customHeight="false" outlineLevel="0" collapsed="false">
      <c r="A13" s="7" t="s">
        <v>250</v>
      </c>
      <c r="B13" s="45" t="n">
        <v>8000</v>
      </c>
    </row>
    <row r="14" customFormat="false" ht="15" hidden="false" customHeight="false" outlineLevel="0" collapsed="false">
      <c r="A14" s="7" t="s">
        <v>251</v>
      </c>
      <c r="B14" s="7" t="str">
        <f aca="false">IF(B12=B13,"OK — conforme BP","ÉCART "&amp;TEXT(B12-B13,"#,##0"))</f>
        <v>OK — conforme BP</v>
      </c>
    </row>
    <row r="15" customFormat="false" ht="15" hidden="false" customHeight="false" outlineLevel="0" collapsed="false">
      <c r="A15" s="7" t="s">
        <v>252</v>
      </c>
      <c r="B15" s="17" t="n">
        <f aca="false">SUM(B5:B10)</f>
        <v>6400</v>
      </c>
    </row>
    <row r="16" customFormat="false" ht="27.75" hidden="false" customHeight="true" outlineLevel="0" collapsed="false">
      <c r="A16" s="7" t="s">
        <v>253</v>
      </c>
      <c r="B16" s="17" t="n">
        <f aca="false">B11</f>
        <v>1600</v>
      </c>
      <c r="C16" s="46" t="s">
        <v>254</v>
      </c>
      <c r="D16" s="46"/>
    </row>
    <row r="18" customFormat="false" ht="15" hidden="false" customHeight="false" outlineLevel="0" collapsed="false">
      <c r="A18" s="4" t="s">
        <v>255</v>
      </c>
      <c r="B18" s="5"/>
      <c r="C18" s="5"/>
      <c r="D18" s="5"/>
    </row>
    <row r="19" customFormat="false" ht="15" hidden="false" customHeight="false" outlineLevel="0" collapsed="false">
      <c r="A19" s="6" t="s">
        <v>256</v>
      </c>
      <c r="B19" s="6" t="s">
        <v>257</v>
      </c>
      <c r="C19" s="6" t="s">
        <v>18</v>
      </c>
      <c r="D19" s="6" t="s">
        <v>258</v>
      </c>
    </row>
    <row r="20" customFormat="false" ht="15" hidden="false" customHeight="false" outlineLevel="0" collapsed="false">
      <c r="A20" s="7" t="s">
        <v>259</v>
      </c>
      <c r="B20" s="8" t="n">
        <v>0.25</v>
      </c>
      <c r="C20" s="17" t="n">
        <f aca="false">$B$5*B20</f>
        <v>750</v>
      </c>
      <c r="D20" s="7"/>
    </row>
    <row r="21" customFormat="false" ht="15" hidden="false" customHeight="false" outlineLevel="0" collapsed="false">
      <c r="A21" s="7" t="s">
        <v>260</v>
      </c>
      <c r="B21" s="8" t="n">
        <v>0.25</v>
      </c>
      <c r="C21" s="17" t="n">
        <f aca="false">$B$5*B21</f>
        <v>750</v>
      </c>
      <c r="D21" s="7"/>
    </row>
    <row r="22" customFormat="false" ht="15" hidden="false" customHeight="false" outlineLevel="0" collapsed="false">
      <c r="A22" s="7" t="s">
        <v>261</v>
      </c>
      <c r="B22" s="8" t="n">
        <v>0.2</v>
      </c>
      <c r="C22" s="17" t="n">
        <f aca="false">$B$5*B22</f>
        <v>600</v>
      </c>
      <c r="D22" s="7"/>
    </row>
    <row r="23" customFormat="false" ht="15" hidden="false" customHeight="false" outlineLevel="0" collapsed="false">
      <c r="A23" s="7" t="s">
        <v>262</v>
      </c>
      <c r="B23" s="8" t="n">
        <v>0.2</v>
      </c>
      <c r="C23" s="17" t="n">
        <f aca="false">$B$5*B23</f>
        <v>600</v>
      </c>
      <c r="D23" s="7"/>
    </row>
    <row r="24" customFormat="false" ht="15" hidden="false" customHeight="false" outlineLevel="0" collapsed="false">
      <c r="A24" s="7" t="s">
        <v>263</v>
      </c>
      <c r="B24" s="8" t="n">
        <v>0.1</v>
      </c>
      <c r="C24" s="17" t="n">
        <f aca="false">$B$5*B24</f>
        <v>300</v>
      </c>
      <c r="D24" s="7"/>
    </row>
    <row r="25" customFormat="false" ht="15" hidden="false" customHeight="false" outlineLevel="0" collapsed="false">
      <c r="A25" s="43" t="s">
        <v>249</v>
      </c>
      <c r="B25" s="47" t="n">
        <f aca="false">SUM(B20:B24)</f>
        <v>1</v>
      </c>
      <c r="C25" s="26" t="n">
        <f aca="false">SUM(C20:C24)</f>
        <v>3000</v>
      </c>
      <c r="D25" s="7" t="str">
        <f aca="false">IF(ROUND(B25,4)=1,"OK — 100 %","ATTENTION : la répartition ne fait pas 100 %")</f>
        <v>OK — 100 %</v>
      </c>
    </row>
    <row r="26" customFormat="false" ht="15" hidden="false" customHeight="false" outlineLevel="0" collapsed="false">
      <c r="A26" s="7" t="s">
        <v>264</v>
      </c>
      <c r="B26" s="8" t="n">
        <v>0.25</v>
      </c>
      <c r="C26" s="17" t="n">
        <f aca="false">$B$5*B26</f>
        <v>750</v>
      </c>
      <c r="D26" s="7" t="s">
        <v>265</v>
      </c>
    </row>
  </sheetData>
  <mergeCells count="1">
    <mergeCell ref="C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2" t="s">
        <v>267</v>
      </c>
    </row>
    <row r="3" customFormat="false" ht="15" hidden="false" customHeight="false" outlineLevel="0" collapsed="false">
      <c r="A3" s="6" t="s">
        <v>227</v>
      </c>
      <c r="B3" s="6" t="s">
        <v>268</v>
      </c>
      <c r="C3" s="6" t="s">
        <v>269</v>
      </c>
    </row>
    <row r="4" customFormat="false" ht="15" hidden="false" customHeight="false" outlineLevel="0" collapsed="false">
      <c r="A4" s="7" t="s">
        <v>270</v>
      </c>
      <c r="B4" s="10" t="n">
        <v>180</v>
      </c>
      <c r="C4" s="7" t="s">
        <v>271</v>
      </c>
    </row>
    <row r="5" customFormat="false" ht="15" hidden="false" customHeight="false" outlineLevel="0" collapsed="false">
      <c r="A5" s="7" t="s">
        <v>272</v>
      </c>
      <c r="B5" s="10" t="n">
        <v>120</v>
      </c>
      <c r="C5" s="7" t="s">
        <v>273</v>
      </c>
    </row>
    <row r="6" customFormat="false" ht="15" hidden="false" customHeight="false" outlineLevel="0" collapsed="false">
      <c r="A6" s="7" t="s">
        <v>274</v>
      </c>
      <c r="B6" s="10" t="n">
        <v>100</v>
      </c>
      <c r="C6" s="7" t="s">
        <v>275</v>
      </c>
    </row>
    <row r="7" customFormat="false" ht="15" hidden="false" customHeight="false" outlineLevel="0" collapsed="false">
      <c r="A7" s="43" t="s">
        <v>276</v>
      </c>
      <c r="B7" s="44" t="n">
        <f aca="false">SUM(B4:B6)</f>
        <v>400</v>
      </c>
    </row>
    <row r="8" customFormat="false" ht="15" hidden="false" customHeight="false" outlineLevel="0" collapsed="false">
      <c r="A8" s="7" t="s">
        <v>250</v>
      </c>
      <c r="B8" s="45" t="n">
        <v>400</v>
      </c>
    </row>
    <row r="9" customFormat="false" ht="15" hidden="false" customHeight="false" outlineLevel="0" collapsed="false">
      <c r="A9" s="7" t="s">
        <v>251</v>
      </c>
      <c r="B9" s="7" t="str">
        <f aca="false">IF(B7=B8,"OK — conforme BP","ÉCART "&amp;TEXT(B7-B8,"#,##0"))</f>
        <v>OK — conforme BP</v>
      </c>
    </row>
    <row r="11" customFormat="false" ht="15" hidden="false" customHeight="false" outlineLevel="0" collapsed="false">
      <c r="A11" s="4" t="s">
        <v>277</v>
      </c>
      <c r="B11" s="5"/>
      <c r="C11" s="5"/>
    </row>
    <row r="12" customFormat="false" ht="15" hidden="false" customHeight="false" outlineLevel="0" collapsed="false">
      <c r="A12" s="6" t="s">
        <v>151</v>
      </c>
      <c r="B12" s="6" t="s">
        <v>278</v>
      </c>
      <c r="C12" s="6" t="s">
        <v>22</v>
      </c>
    </row>
    <row r="13" customFormat="false" ht="15" hidden="false" customHeight="false" outlineLevel="0" collapsed="false">
      <c r="A13" s="7" t="s">
        <v>279</v>
      </c>
      <c r="B13" s="48" t="n">
        <f aca="false">Heures_min*Semaines_mois</f>
        <v>26</v>
      </c>
      <c r="C13" s="7" t="s">
        <v>280</v>
      </c>
    </row>
    <row r="14" customFormat="false" ht="15" hidden="false" customHeight="false" outlineLevel="0" collapsed="false">
      <c r="A14" s="7" t="s">
        <v>281</v>
      </c>
      <c r="B14" s="48" t="n">
        <f aca="false">Heures_max*Semaines_mois</f>
        <v>43.3333333333333</v>
      </c>
      <c r="C14" s="7" t="s">
        <v>282</v>
      </c>
    </row>
    <row r="15" customFormat="false" ht="15" hidden="false" customHeight="false" outlineLevel="0" collapsed="false">
      <c r="A15" s="7" t="s">
        <v>283</v>
      </c>
      <c r="C15" s="7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7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6" t="s">
        <v>286</v>
      </c>
      <c r="B4" s="6" t="s">
        <v>65</v>
      </c>
      <c r="C4" s="6" t="s">
        <v>66</v>
      </c>
      <c r="D4" s="6" t="s">
        <v>67</v>
      </c>
      <c r="E4" s="6" t="s">
        <v>287</v>
      </c>
    </row>
    <row r="5" customFormat="false" ht="15" hidden="false" customHeight="false" outlineLevel="0" collapsed="false">
      <c r="A5" s="7" t="s">
        <v>217</v>
      </c>
      <c r="B5" s="49" t="n">
        <f aca="false">Hypothèses!B27</f>
        <v>40</v>
      </c>
      <c r="C5" s="49" t="n">
        <f aca="false">Hypothèses!C27</f>
        <v>100</v>
      </c>
      <c r="D5" s="49" t="n">
        <f aca="false">Hypothèses!D27</f>
        <v>200</v>
      </c>
      <c r="E5" s="9" t="s">
        <v>288</v>
      </c>
    </row>
    <row r="6" customFormat="false" ht="15" hidden="false" customHeight="false" outlineLevel="0" collapsed="false">
      <c r="A6" s="7" t="s">
        <v>289</v>
      </c>
      <c r="B6" s="12" t="n">
        <f aca="false">Panier_TTC</f>
        <v>95</v>
      </c>
      <c r="C6" s="12" t="n">
        <f aca="false">Panier_TTC</f>
        <v>95</v>
      </c>
      <c r="D6" s="12" t="n">
        <f aca="false">Panier_TTC</f>
        <v>95</v>
      </c>
      <c r="E6" s="9" t="s">
        <v>18</v>
      </c>
    </row>
    <row r="7" customFormat="false" ht="15" hidden="false" customHeight="false" outlineLevel="0" collapsed="false">
      <c r="A7" s="7" t="s">
        <v>290</v>
      </c>
      <c r="B7" s="12" t="n">
        <f aca="false">Panier_HT</f>
        <v>87.881591119334</v>
      </c>
      <c r="C7" s="12" t="n">
        <f aca="false">Panier_HT</f>
        <v>87.881591119334</v>
      </c>
      <c r="D7" s="12" t="n">
        <f aca="false">Panier_HT</f>
        <v>87.881591119334</v>
      </c>
      <c r="E7" s="9" t="s">
        <v>291</v>
      </c>
    </row>
    <row r="8" customFormat="false" ht="15" hidden="false" customHeight="false" outlineLevel="0" collapsed="false">
      <c r="A8" s="7" t="s">
        <v>292</v>
      </c>
      <c r="B8" s="17" t="n">
        <f aca="false">B5*B6</f>
        <v>3800</v>
      </c>
      <c r="C8" s="17" t="n">
        <f aca="false">C5*C6</f>
        <v>9500</v>
      </c>
      <c r="D8" s="17" t="n">
        <f aca="false">D5*D6</f>
        <v>19000</v>
      </c>
      <c r="E8" s="9" t="s">
        <v>18</v>
      </c>
    </row>
    <row r="9" customFormat="false" ht="15" hidden="false" customHeight="false" outlineLevel="0" collapsed="false">
      <c r="A9" s="7" t="s">
        <v>293</v>
      </c>
      <c r="B9" s="17" t="n">
        <f aca="false">B8/(1+TVA)</f>
        <v>3515.26364477336</v>
      </c>
      <c r="C9" s="17" t="n">
        <f aca="false">C8/(1+TVA)</f>
        <v>8788.1591119334</v>
      </c>
      <c r="D9" s="17" t="n">
        <f aca="false">D8/(1+TVA)</f>
        <v>17576.3182238668</v>
      </c>
      <c r="E9" s="9" t="s">
        <v>18</v>
      </c>
    </row>
    <row r="10" customFormat="false" ht="15" hidden="false" customHeight="false" outlineLevel="0" collapsed="false">
      <c r="A10" s="7" t="s">
        <v>294</v>
      </c>
      <c r="B10" s="17" t="n">
        <f aca="false">B8-B9</f>
        <v>284.736355226642</v>
      </c>
      <c r="C10" s="17" t="n">
        <f aca="false">C8-C9</f>
        <v>711.840888066605</v>
      </c>
      <c r="D10" s="17" t="n">
        <f aca="false">D8-D9</f>
        <v>1423.68177613321</v>
      </c>
      <c r="E10" s="9" t="s">
        <v>18</v>
      </c>
    </row>
    <row r="11" customFormat="false" ht="15" hidden="false" customHeight="false" outlineLevel="0" collapsed="false">
      <c r="A11" s="7" t="s">
        <v>295</v>
      </c>
      <c r="B11" s="17" t="n">
        <f aca="false">B9*Taux_contribution</f>
        <v>773.358001850139</v>
      </c>
      <c r="C11" s="17" t="n">
        <f aca="false">C9*Taux_contribution</f>
        <v>1933.39500462535</v>
      </c>
      <c r="D11" s="17" t="n">
        <f aca="false">D9*Taux_contribution</f>
        <v>3866.79000925069</v>
      </c>
      <c r="E11" s="9" t="s">
        <v>296</v>
      </c>
    </row>
    <row r="12" customFormat="false" ht="15" hidden="false" customHeight="false" outlineLevel="0" collapsed="false">
      <c r="A12" s="7" t="s">
        <v>297</v>
      </c>
      <c r="B12" s="50" t="n">
        <f aca="false">Hypothèses!B28</f>
        <v>8</v>
      </c>
      <c r="C12" s="50" t="n">
        <f aca="false">Hypothèses!C28</f>
        <v>6</v>
      </c>
      <c r="D12" s="50" t="n">
        <f aca="false">Hypothèses!D28</f>
        <v>5</v>
      </c>
      <c r="E12" s="9" t="s">
        <v>298</v>
      </c>
    </row>
    <row r="13" customFormat="false" ht="15" hidden="false" customHeight="false" outlineLevel="0" collapsed="false">
      <c r="A13" s="7" t="s">
        <v>299</v>
      </c>
      <c r="B13" s="17" t="n">
        <f aca="false">B5*B12</f>
        <v>320</v>
      </c>
      <c r="C13" s="17" t="n">
        <f aca="false">C5*C12</f>
        <v>600</v>
      </c>
      <c r="D13" s="17" t="n">
        <f aca="false">D5*D12</f>
        <v>1000</v>
      </c>
      <c r="E13" s="9" t="s">
        <v>18</v>
      </c>
    </row>
    <row r="14" customFormat="false" ht="15" hidden="false" customHeight="false" outlineLevel="0" collapsed="false">
      <c r="A14" s="7" t="s">
        <v>214</v>
      </c>
      <c r="B14" s="17" t="n">
        <f aca="false">Charges_fixes</f>
        <v>400</v>
      </c>
      <c r="C14" s="17" t="n">
        <f aca="false">Charges_fixes</f>
        <v>400</v>
      </c>
      <c r="D14" s="17" t="n">
        <f aca="false">Charges_fixes</f>
        <v>400</v>
      </c>
      <c r="E14" s="9" t="s">
        <v>18</v>
      </c>
    </row>
    <row r="15" customFormat="false" ht="15" hidden="false" customHeight="false" outlineLevel="0" collapsed="false">
      <c r="A15" s="43" t="s">
        <v>300</v>
      </c>
      <c r="B15" s="44" t="n">
        <f aca="false">B11-B13-B14</f>
        <v>53.3580018501388</v>
      </c>
      <c r="C15" s="44" t="n">
        <f aca="false">C11-C13-C14</f>
        <v>933.395004625347</v>
      </c>
      <c r="D15" s="44" t="n">
        <f aca="false">D11-D13-D14</f>
        <v>2466.79000925069</v>
      </c>
      <c r="E15" s="9" t="s">
        <v>18</v>
      </c>
    </row>
    <row r="16" customFormat="false" ht="15" hidden="false" customHeight="false" outlineLevel="0" collapsed="false">
      <c r="A16" s="7" t="s">
        <v>32</v>
      </c>
      <c r="B16" s="17" t="n">
        <f aca="false">Remuneration</f>
        <v>2000</v>
      </c>
      <c r="C16" s="17" t="n">
        <f aca="false">Remuneration</f>
        <v>2000</v>
      </c>
      <c r="D16" s="17" t="n">
        <f aca="false">Remuneration</f>
        <v>2000</v>
      </c>
      <c r="E16" s="9" t="s">
        <v>301</v>
      </c>
    </row>
    <row r="17" customFormat="false" ht="15" hidden="false" customHeight="false" outlineLevel="0" collapsed="false">
      <c r="A17" s="43" t="s">
        <v>302</v>
      </c>
      <c r="B17" s="44" t="n">
        <f aca="false">B15-B16</f>
        <v>-1946.64199814986</v>
      </c>
      <c r="C17" s="44" t="n">
        <f aca="false">C15-C16</f>
        <v>-1066.60499537465</v>
      </c>
      <c r="D17" s="44" t="n">
        <f aca="false">D15-D16</f>
        <v>466.790009250694</v>
      </c>
      <c r="E17" s="9" t="s">
        <v>18</v>
      </c>
    </row>
    <row r="18" customFormat="false" ht="15" hidden="false" customHeight="false" outlineLevel="0" collapsed="false">
      <c r="A18" s="7" t="s">
        <v>303</v>
      </c>
      <c r="B18" s="12" t="n">
        <f aca="false">B7*Taux_contribution</f>
        <v>19.3339500462535</v>
      </c>
      <c r="C18" s="12" t="n">
        <f aca="false">C7*Taux_contribution</f>
        <v>19.3339500462535</v>
      </c>
      <c r="D18" s="12" t="n">
        <f aca="false">D7*Taux_contribution</f>
        <v>19.3339500462535</v>
      </c>
      <c r="E18" s="9" t="s">
        <v>18</v>
      </c>
    </row>
    <row r="19" customFormat="false" ht="15" hidden="false" customHeight="false" outlineLevel="0" collapsed="false">
      <c r="A19" s="7" t="s">
        <v>304</v>
      </c>
      <c r="B19" s="12" t="n">
        <f aca="false">B18-B12</f>
        <v>11.3339500462535</v>
      </c>
      <c r="C19" s="12" t="n">
        <f aca="false">C18-C12</f>
        <v>13.3339500462535</v>
      </c>
      <c r="D19" s="12" t="n">
        <f aca="false">D18-D12</f>
        <v>14.3339500462535</v>
      </c>
      <c r="E19" s="9" t="s">
        <v>18</v>
      </c>
    </row>
    <row r="20" customFormat="false" ht="15" hidden="false" customHeight="false" outlineLevel="0" collapsed="false">
      <c r="A20" s="7" t="s">
        <v>305</v>
      </c>
      <c r="B20" s="51" t="n">
        <f aca="false">IF(B7&gt;0,B19/B7,0)</f>
        <v>0.128968421052632</v>
      </c>
      <c r="C20" s="51" t="n">
        <f aca="false">IF(C7&gt;0,C19/C7,0)</f>
        <v>0.151726315789474</v>
      </c>
      <c r="D20" s="51" t="n">
        <f aca="false">IF(D7&gt;0,D19/D7,0)</f>
        <v>0.163105263157895</v>
      </c>
      <c r="E20" s="9" t="s">
        <v>10</v>
      </c>
    </row>
    <row r="21" customFormat="false" ht="15" hidden="false" customHeight="false" outlineLevel="0" collapsed="false">
      <c r="A21" s="7" t="s">
        <v>306</v>
      </c>
      <c r="B21" s="52" t="str">
        <f aca="false">IF(AND(B19&gt;=Plancher_CHF,B20&gt;=Plancher_pct),"oui","NON")</f>
        <v>oui</v>
      </c>
      <c r="C21" s="52" t="str">
        <f aca="false">IF(AND(C19&gt;=Plancher_CHF,C20&gt;=Plancher_pct),"oui","NON")</f>
        <v>oui</v>
      </c>
      <c r="D21" s="52" t="str">
        <f aca="false">IF(AND(D19&gt;=Plancher_CHF,D20&gt;=Plancher_pct),"oui","NON")</f>
        <v>oui</v>
      </c>
      <c r="E21" s="9" t="s">
        <v>50</v>
      </c>
    </row>
    <row r="22" customFormat="false" ht="15" hidden="false" customHeight="false" outlineLevel="0" collapsed="false">
      <c r="A22" s="7" t="s">
        <v>307</v>
      </c>
      <c r="B22" s="17" t="n">
        <f aca="false">B8*12</f>
        <v>45600</v>
      </c>
      <c r="C22" s="17" t="n">
        <f aca="false">C8*12</f>
        <v>114000</v>
      </c>
      <c r="D22" s="17" t="n">
        <f aca="false">D8*12</f>
        <v>228000</v>
      </c>
      <c r="E22" s="9" t="s">
        <v>14</v>
      </c>
    </row>
    <row r="23" customFormat="false" ht="15" hidden="false" customHeight="false" outlineLevel="0" collapsed="false">
      <c r="A23" s="7" t="s">
        <v>308</v>
      </c>
      <c r="B23" s="52" t="str">
        <f aca="false">IF(B22&gt;=Seuil_TVA,"OUI — anticiper l'examen TVA","non")</f>
        <v>non</v>
      </c>
      <c r="C23" s="52" t="str">
        <f aca="false">IF(C22&gt;=Seuil_TVA,"OUI — anticiper l'examen TVA","non")</f>
        <v>OUI — anticiper l'examen TVA</v>
      </c>
      <c r="D23" s="52" t="str">
        <f aca="false">IF(D22&gt;=Seuil_TVA,"OUI — anticiper l'examen TVA","non")</f>
        <v>OUI — anticiper l'examen TVA</v>
      </c>
      <c r="E23" s="9" t="s">
        <v>309</v>
      </c>
    </row>
    <row r="24" customFormat="false" ht="15" hidden="false" customHeight="false" outlineLevel="0" collapsed="false">
      <c r="A24" s="7" t="s">
        <v>310</v>
      </c>
      <c r="B24" s="48" t="n">
        <f aca="false">(Heures_min+Heures_max)/2*Semaines_mois+B5*Minutes_prep/60</f>
        <v>44.6666666666667</v>
      </c>
      <c r="C24" s="48" t="n">
        <f aca="false">(Heures_min+Heures_max)/2*Semaines_mois+C5*Minutes_prep/60</f>
        <v>59.6666666666667</v>
      </c>
      <c r="D24" s="48" t="n">
        <f aca="false">(Heures_min+Heures_max)/2*Semaines_mois+D5*Minutes_prep/60</f>
        <v>84.6666666666667</v>
      </c>
      <c r="E24" s="9" t="s">
        <v>311</v>
      </c>
    </row>
    <row r="25" customFormat="false" ht="15" hidden="false" customHeight="false" outlineLevel="0" collapsed="false">
      <c r="A25" s="7" t="s">
        <v>312</v>
      </c>
      <c r="B25" s="12" t="n">
        <f aca="false">IF(B24&gt;0,B15/B24,0)</f>
        <v>1.19458213097326</v>
      </c>
      <c r="C25" s="12" t="n">
        <f aca="false">IF(C24&gt;0,C15/C24,0)</f>
        <v>15.6434916976315</v>
      </c>
      <c r="D25" s="12" t="n">
        <f aca="false">IF(D24&gt;0,D15/D24,0)</f>
        <v>29.1353150698901</v>
      </c>
      <c r="E25" s="9" t="s">
        <v>313</v>
      </c>
    </row>
    <row r="26" customFormat="false" ht="15" hidden="false" customHeight="false" outlineLevel="0" collapsed="false">
      <c r="A26" s="7" t="s">
        <v>314</v>
      </c>
      <c r="B26" s="52" t="str">
        <f aca="false">IF(B12&gt;B18,"OUI — campagne coupée","non")</f>
        <v>non</v>
      </c>
      <c r="C26" s="52" t="str">
        <f aca="false">IF(C12&gt;C18,"OUI — campagne coupée","non")</f>
        <v>non</v>
      </c>
      <c r="D26" s="52" t="str">
        <f aca="false">IF(D12&gt;D18,"OUI — campagne coupée","non")</f>
        <v>non</v>
      </c>
      <c r="E26" s="9" t="s">
        <v>315</v>
      </c>
    </row>
    <row r="27" customFormat="false" ht="15" hidden="false" customHeight="false" outlineLevel="0" collapsed="false">
      <c r="A27" s="4" t="s">
        <v>316</v>
      </c>
      <c r="B27" s="5"/>
      <c r="C27" s="5"/>
      <c r="D27" s="5"/>
      <c r="E27" s="5"/>
    </row>
    <row r="28" customFormat="false" ht="15" hidden="false" customHeight="false" outlineLevel="0" collapsed="false">
      <c r="A28" s="6" t="s">
        <v>317</v>
      </c>
      <c r="B28" s="6" t="s">
        <v>65</v>
      </c>
      <c r="C28" s="6" t="s">
        <v>66</v>
      </c>
      <c r="D28" s="6" t="s">
        <v>67</v>
      </c>
      <c r="E28" s="6" t="s">
        <v>318</v>
      </c>
    </row>
    <row r="29" customFormat="false" ht="15" hidden="false" customHeight="false" outlineLevel="0" collapsed="false">
      <c r="A29" s="7" t="s">
        <v>292</v>
      </c>
      <c r="B29" s="45" t="n">
        <v>3800</v>
      </c>
      <c r="C29" s="45" t="n">
        <v>9500</v>
      </c>
      <c r="D29" s="45" t="n">
        <v>19000</v>
      </c>
    </row>
    <row r="30" customFormat="false" ht="15" hidden="false" customHeight="false" outlineLevel="0" collapsed="false">
      <c r="A30" s="7" t="s">
        <v>293</v>
      </c>
      <c r="B30" s="45" t="n">
        <v>3515</v>
      </c>
      <c r="C30" s="45" t="n">
        <v>8788</v>
      </c>
      <c r="D30" s="45" t="n">
        <v>17577</v>
      </c>
    </row>
    <row r="31" customFormat="false" ht="15" hidden="false" customHeight="false" outlineLevel="0" collapsed="false">
      <c r="A31" s="7" t="s">
        <v>295</v>
      </c>
      <c r="B31" s="45" t="n">
        <v>773</v>
      </c>
      <c r="C31" s="45" t="n">
        <v>1933</v>
      </c>
      <c r="D31" s="45" t="n">
        <v>3867</v>
      </c>
    </row>
    <row r="32" customFormat="false" ht="15" hidden="false" customHeight="false" outlineLevel="0" collapsed="false">
      <c r="A32" s="7" t="s">
        <v>299</v>
      </c>
      <c r="B32" s="45" t="n">
        <v>320</v>
      </c>
      <c r="C32" s="45" t="n">
        <v>600</v>
      </c>
      <c r="D32" s="45" t="n">
        <v>1000</v>
      </c>
    </row>
    <row r="33" customFormat="false" ht="15" hidden="false" customHeight="false" outlineLevel="0" collapsed="false">
      <c r="A33" s="7" t="s">
        <v>300</v>
      </c>
      <c r="B33" s="45" t="n">
        <v>53</v>
      </c>
      <c r="C33" s="45" t="n">
        <v>933</v>
      </c>
      <c r="D33" s="45" t="n">
        <v>2467</v>
      </c>
    </row>
    <row r="35" customFormat="false" ht="15" hidden="false" customHeight="false" outlineLevel="0" collapsed="false">
      <c r="A35" s="6" t="s">
        <v>319</v>
      </c>
      <c r="B35" s="6" t="s">
        <v>65</v>
      </c>
      <c r="C35" s="6" t="s">
        <v>66</v>
      </c>
      <c r="D35" s="6" t="s">
        <v>67</v>
      </c>
      <c r="E35" s="6" t="s">
        <v>320</v>
      </c>
    </row>
    <row r="36" customFormat="false" ht="15" hidden="false" customHeight="false" outlineLevel="0" collapsed="false">
      <c r="A36" s="7" t="s">
        <v>321</v>
      </c>
      <c r="B36" s="53" t="n">
        <f aca="false">ROUND(B8,0)-B29</f>
        <v>0</v>
      </c>
      <c r="C36" s="53" t="n">
        <f aca="false">ROUND(C8,0)-C29</f>
        <v>0</v>
      </c>
      <c r="D36" s="53" t="n">
        <f aca="false">ROUND(D8,0)-D29</f>
        <v>0</v>
      </c>
    </row>
    <row r="37" customFormat="false" ht="15" hidden="false" customHeight="false" outlineLevel="0" collapsed="false">
      <c r="A37" s="7" t="s">
        <v>322</v>
      </c>
      <c r="B37" s="53" t="n">
        <f aca="false">ROUND(B9,0)-B30</f>
        <v>0</v>
      </c>
      <c r="C37" s="53" t="n">
        <f aca="false">ROUND(C9,0)-C30</f>
        <v>0</v>
      </c>
      <c r="D37" s="53" t="n">
        <f aca="false">ROUND(D9,0)-D30</f>
        <v>-1</v>
      </c>
      <c r="E37" s="9" t="s">
        <v>323</v>
      </c>
    </row>
    <row r="38" customFormat="false" ht="15" hidden="false" customHeight="false" outlineLevel="0" collapsed="false">
      <c r="A38" s="7" t="s">
        <v>324</v>
      </c>
      <c r="B38" s="53" t="n">
        <f aca="false">ROUND(B11,0)-B31</f>
        <v>0</v>
      </c>
      <c r="C38" s="53" t="n">
        <f aca="false">ROUND(C11,0)-C31</f>
        <v>0</v>
      </c>
      <c r="D38" s="53" t="n">
        <f aca="false">ROUND(D11,0)-D31</f>
        <v>0</v>
      </c>
    </row>
    <row r="39" customFormat="false" ht="15" hidden="false" customHeight="false" outlineLevel="0" collapsed="false">
      <c r="A39" s="7" t="s">
        <v>325</v>
      </c>
      <c r="B39" s="53" t="n">
        <f aca="false">ROUND(B13,0)-B32</f>
        <v>0</v>
      </c>
      <c r="C39" s="53" t="n">
        <f aca="false">ROUND(C13,0)-C32</f>
        <v>0</v>
      </c>
      <c r="D39" s="53" t="n">
        <f aca="false">ROUND(D13,0)-D32</f>
        <v>0</v>
      </c>
    </row>
    <row r="40" customFormat="false" ht="15" hidden="false" customHeight="false" outlineLevel="0" collapsed="false">
      <c r="A40" s="7" t="s">
        <v>326</v>
      </c>
      <c r="B40" s="53" t="n">
        <f aca="false">ROUND(B15,0)-B33</f>
        <v>0</v>
      </c>
      <c r="C40" s="53" t="n">
        <f aca="false">ROUND(C15,0)-C33</f>
        <v>0</v>
      </c>
      <c r="D40" s="53" t="n">
        <f aca="false">ROUND(D15,0)-D33</f>
        <v>0</v>
      </c>
    </row>
    <row r="41" customFormat="false" ht="15" hidden="false" customHeight="false" outlineLevel="0" collapsed="false">
      <c r="A41" s="43" t="s">
        <v>327</v>
      </c>
      <c r="B41" s="43" t="str">
        <f aca="false">IF(SUMPRODUCT(ABS(B36:B40))=0,"OK","ÉCART "&amp;SUMPRODUCT(B36:B40)&amp;" CHF")</f>
        <v>OK</v>
      </c>
      <c r="C41" s="43" t="str">
        <f aca="false">IF(SUMPRODUCT(ABS(C36:C40))=0,"OK","ÉCART "&amp;SUMPRODUCT(C36:C40)&amp;" CHF")</f>
        <v>OK</v>
      </c>
      <c r="D41" s="43" t="str">
        <f aca="false">IF(SUMPRODUCT(ABS(D36:D40))=0,"OK","ÉCART "&amp;SUMPRODUCT(D36:D40)&amp;" CHF")</f>
        <v>ÉCART -1 CHF</v>
      </c>
    </row>
  </sheetData>
  <conditionalFormatting sqref="B21:D21">
    <cfRule type="cellIs" priority="2" operator="equal" aboveAverage="0" equalAverage="0" bottom="0" percent="0" rank="0" text="" dxfId="0">
      <formula>"NON"</formula>
    </cfRule>
  </conditionalFormatting>
  <conditionalFormatting sqref="B26:D26">
    <cfRule type="expression" priority="3" aboveAverage="0" equalAverage="0" bottom="0" percent="0" rank="0" text="" dxfId="0">
      <formula>LEFT(B26,3)="OUI"</formula>
    </cfRule>
  </conditionalFormatting>
  <conditionalFormatting sqref="B15:D17">
    <cfRule type="cellIs" priority="4" operator="lessThan" aboveAverage="0" equalAverage="0" bottom="0" percent="0" rank="0" text="" dxfId="0">
      <formula>0</formula>
    </cfRule>
  </conditionalFormatting>
  <conditionalFormatting sqref="B36:D40">
    <cfRule type="cellIs" priority="5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9" min="7" style="0" width="12"/>
  </cols>
  <sheetData>
    <row r="1" customFormat="false" ht="17.3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4" t="s">
        <v>330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6" t="s">
        <v>151</v>
      </c>
      <c r="B5" s="6" t="s">
        <v>331</v>
      </c>
      <c r="C5" s="6" t="s">
        <v>332</v>
      </c>
      <c r="D5" s="6" t="s">
        <v>317</v>
      </c>
      <c r="E5" s="6" t="s">
        <v>327</v>
      </c>
      <c r="F5" s="6" t="s">
        <v>320</v>
      </c>
    </row>
    <row r="6" customFormat="false" ht="15" hidden="false" customHeight="false" outlineLevel="0" collapsed="false">
      <c r="A6" s="7" t="s">
        <v>303</v>
      </c>
      <c r="B6" s="54" t="n">
        <f aca="false">Panier_HT*Taux_contribution</f>
        <v>19.3339500462535</v>
      </c>
      <c r="C6" s="12" t="n">
        <f aca="false">ROUND(B6,2)</f>
        <v>19.33</v>
      </c>
      <c r="D6" s="55" t="n">
        <v>19.33</v>
      </c>
      <c r="E6" s="7" t="str">
        <f aca="false">IF(C6=D6,IF(ROUND(B6,2)=D6,"OK","OK méthode BP — exact : "&amp;ROUND(B6,2)),"ÉCART")</f>
        <v>OK</v>
      </c>
    </row>
    <row r="7" customFormat="false" ht="15" hidden="false" customHeight="false" outlineLevel="0" collapsed="false">
      <c r="A7" s="7" t="s">
        <v>333</v>
      </c>
      <c r="B7" s="50" t="n">
        <f aca="false">Hypothèses!C28</f>
        <v>6</v>
      </c>
      <c r="C7" s="12" t="n">
        <f aca="false">B7</f>
        <v>6</v>
      </c>
      <c r="D7" s="55" t="n">
        <v>6</v>
      </c>
    </row>
    <row r="8" customFormat="false" ht="15" hidden="false" customHeight="false" outlineLevel="0" collapsed="false">
      <c r="A8" s="7" t="s">
        <v>304</v>
      </c>
      <c r="B8" s="54" t="n">
        <f aca="false">B6-B7</f>
        <v>13.3339500462535</v>
      </c>
      <c r="C8" s="12" t="n">
        <f aca="false">ROUND(C6-C7,2)</f>
        <v>13.33</v>
      </c>
      <c r="D8" s="55" t="n">
        <v>13.33</v>
      </c>
      <c r="E8" s="7" t="str">
        <f aca="false">IF(C8=D8,IF(ROUND(B8,2)=D8,"OK","OK méthode BP — exact : "&amp;ROUND(B8,2)),"ÉCART")</f>
        <v>OK</v>
      </c>
    </row>
    <row r="9" customFormat="false" ht="15" hidden="false" customHeight="false" outlineLevel="0" collapsed="false">
      <c r="A9" s="7" t="s">
        <v>334</v>
      </c>
      <c r="B9" s="17" t="n">
        <f aca="false">Charges_fixes</f>
        <v>400</v>
      </c>
      <c r="C9" s="17" t="n">
        <f aca="false">Charges_fixes</f>
        <v>400</v>
      </c>
      <c r="D9" s="45" t="n">
        <v>400</v>
      </c>
    </row>
    <row r="10" customFormat="false" ht="15" hidden="false" customHeight="false" outlineLevel="0" collapsed="false">
      <c r="A10" s="7" t="s">
        <v>335</v>
      </c>
      <c r="B10" s="54" t="n">
        <f aca="false">B9/B8</f>
        <v>29.9986124601082</v>
      </c>
      <c r="C10" s="54" t="n">
        <f aca="false">C9/C8</f>
        <v>30.0075018754689</v>
      </c>
    </row>
    <row r="11" customFormat="false" ht="15" hidden="false" customHeight="false" outlineLevel="0" collapsed="false">
      <c r="A11" s="43" t="s">
        <v>336</v>
      </c>
      <c r="B11" s="56" t="n">
        <f aca="false">ROUNDUP(B10,0)</f>
        <v>30</v>
      </c>
      <c r="C11" s="56" t="n">
        <f aca="false">ROUNDUP(C10,0)</f>
        <v>31</v>
      </c>
      <c r="D11" s="57" t="n">
        <v>31</v>
      </c>
      <c r="E11" s="7" t="str">
        <f aca="false">IF(C11=D11,IF(ROUND(B11,2)=D11,"OK","OK méthode BP — exact : "&amp;ROUND(B11,2)),"ÉCART")</f>
        <v>OK méthode BP — exact : 30</v>
      </c>
      <c r="F11" s="9" t="s">
        <v>337</v>
      </c>
    </row>
    <row r="12" customFormat="false" ht="15" hidden="false" customHeight="false" outlineLevel="0" collapsed="false">
      <c r="A12" s="7" t="s">
        <v>338</v>
      </c>
      <c r="B12" s="12" t="n">
        <f aca="false">B11*B8-B9</f>
        <v>0.0185013876040898</v>
      </c>
      <c r="C12" s="12" t="n">
        <f aca="false">C11*C8-C9</f>
        <v>13.23</v>
      </c>
    </row>
    <row r="13" customFormat="false" ht="15" hidden="false" customHeight="false" outlineLevel="0" collapsed="false">
      <c r="A13" s="43" t="s">
        <v>339</v>
      </c>
      <c r="B13" s="56" t="n">
        <f aca="false">ROUNDUP((B9+Remuneration)/B8,0)</f>
        <v>180</v>
      </c>
      <c r="C13" s="56" t="n">
        <f aca="false">ROUNDUP((C9+Remuneration)/C8,0)</f>
        <v>181</v>
      </c>
      <c r="D13" s="57" t="n">
        <v>181</v>
      </c>
      <c r="E13" s="7" t="str">
        <f aca="false">IF(C13=D13,IF(ROUND(B13,2)=D13,"OK","OK méthode BP — exact : "&amp;ROUND(B13,2)),"ÉCART")</f>
        <v>OK méthode BP — exact : 180</v>
      </c>
      <c r="F13" s="9" t="s">
        <v>340</v>
      </c>
    </row>
    <row r="15" customFormat="false" ht="15" hidden="false" customHeight="false" outlineLevel="0" collapsed="false">
      <c r="A15" s="4" t="s">
        <v>341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6" t="s">
        <v>342</v>
      </c>
      <c r="B16" s="6" t="s">
        <v>343</v>
      </c>
      <c r="C16" s="6" t="s">
        <v>344</v>
      </c>
      <c r="D16" s="6" t="s">
        <v>345</v>
      </c>
      <c r="E16" s="6" t="s">
        <v>346</v>
      </c>
      <c r="F16" s="6" t="s">
        <v>347</v>
      </c>
    </row>
    <row r="17" customFormat="false" ht="15" hidden="false" customHeight="false" outlineLevel="0" collapsed="false">
      <c r="A17" s="7" t="s">
        <v>348</v>
      </c>
      <c r="B17" s="12" t="n">
        <f aca="false">Panier_HT*Taux_sensibilite</f>
        <v>13.1822386679001</v>
      </c>
      <c r="C17" s="12" t="n">
        <f aca="false">B17-Hypothèses!C28</f>
        <v>7.18223866790009</v>
      </c>
      <c r="D17" s="58" t="n">
        <f aca="false">IF(C17&gt;0,ROUNDUP(Charges_fixes/C17,0),"non rentable")</f>
        <v>56</v>
      </c>
      <c r="E17" s="57" t="n">
        <v>56</v>
      </c>
      <c r="F17" s="7" t="str">
        <f aca="false">IF(C17&gt;=Plancher_CHF,"respecté","NON — sous le plancher dur")</f>
        <v>NON — sous le plancher dur</v>
      </c>
    </row>
    <row r="18" customFormat="false" ht="15" hidden="false" customHeight="false" outlineLevel="0" collapsed="false">
      <c r="A18" s="7" t="s">
        <v>349</v>
      </c>
      <c r="B18" s="12" t="n">
        <f aca="false">Panier_HT*Taux_contribution</f>
        <v>19.3339500462535</v>
      </c>
      <c r="C18" s="12" t="n">
        <f aca="false">B18-CAC_eleve</f>
        <v>4.33395004625347</v>
      </c>
      <c r="D18" s="58" t="n">
        <f aca="false">IF(C18&gt;0,ROUNDUP(Charges_fixes/C18,0),"non rentable")</f>
        <v>93</v>
      </c>
      <c r="E18" s="57" t="n">
        <v>93</v>
      </c>
      <c r="F18" s="7" t="str">
        <f aca="false">IF(C18&gt;=Plancher_CHF,"respecté","NON — sous le plancher dur")</f>
        <v>NON — sous le plancher dur</v>
      </c>
    </row>
    <row r="19" customFormat="false" ht="15" hidden="false" customHeight="false" outlineLevel="0" collapsed="false">
      <c r="A19" s="9" t="s">
        <v>350</v>
      </c>
      <c r="B19" s="59" t="s">
        <v>351</v>
      </c>
      <c r="C19" s="59" t="s">
        <v>352</v>
      </c>
    </row>
    <row r="21" customFormat="false" ht="15" hidden="false" customHeight="false" outlineLevel="0" collapsed="false">
      <c r="A21" s="4" t="s">
        <v>353</v>
      </c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6" t="s">
        <v>354</v>
      </c>
      <c r="B22" s="11" t="n">
        <v>0</v>
      </c>
      <c r="C22" s="11" t="n">
        <v>4</v>
      </c>
      <c r="D22" s="11" t="n">
        <v>5</v>
      </c>
      <c r="E22" s="11" t="n">
        <v>6</v>
      </c>
      <c r="F22" s="11" t="n">
        <v>8</v>
      </c>
      <c r="G22" s="11" t="n">
        <v>10</v>
      </c>
      <c r="H22" s="11" t="n">
        <v>12</v>
      </c>
      <c r="I22" s="11" t="n">
        <v>15</v>
      </c>
    </row>
    <row r="23" customFormat="false" ht="15" hidden="false" customHeight="false" outlineLevel="0" collapsed="false">
      <c r="A23" s="8" t="n">
        <v>0.12</v>
      </c>
      <c r="B23" s="39" t="n">
        <f aca="false">IF((Panier_HT*$A23-B$22)&gt;0,ROUNDUP(Charges_fixes/(Panier_HT*$A23-B$22),0),"non rentable")</f>
        <v>38</v>
      </c>
      <c r="C23" s="39" t="n">
        <f aca="false">IF((Panier_HT*$A23-C$22)&gt;0,ROUNDUP(Charges_fixes/(Panier_HT*$A23-C$22),0),"non rentable")</f>
        <v>62</v>
      </c>
      <c r="D23" s="39" t="n">
        <f aca="false">IF((Panier_HT*$A23-D$22)&gt;0,ROUNDUP(Charges_fixes/(Panier_HT*$A23-D$22),0),"non rentable")</f>
        <v>73</v>
      </c>
      <c r="E23" s="39" t="n">
        <f aca="false">IF((Panier_HT*$A23-E$22)&gt;0,ROUNDUP(Charges_fixes/(Panier_HT*$A23-E$22),0),"non rentable")</f>
        <v>88</v>
      </c>
      <c r="F23" s="39" t="n">
        <f aca="false">IF((Panier_HT*$A23-F$22)&gt;0,ROUNDUP(Charges_fixes/(Panier_HT*$A23-F$22),0),"non rentable")</f>
        <v>158</v>
      </c>
      <c r="G23" s="39" t="n">
        <f aca="false">IF((Panier_HT*$A23-G$22)&gt;0,ROUNDUP(Charges_fixes/(Panier_HT*$A23-G$22),0),"non rentable")</f>
        <v>733</v>
      </c>
      <c r="H23" s="39" t="str">
        <f aca="false">IF((Panier_HT*$A23-H$22)&gt;0,ROUNDUP(Charges_fixes/(Panier_HT*$A23-H$22),0),"non rentable")</f>
        <v>non rentable</v>
      </c>
      <c r="I23" s="39" t="str">
        <f aca="false">IF((Panier_HT*$A23-I$22)&gt;0,ROUNDUP(Charges_fixes/(Panier_HT*$A23-I$22),0),"non rentable")</f>
        <v>non rentable</v>
      </c>
    </row>
    <row r="24" customFormat="false" ht="15" hidden="false" customHeight="false" outlineLevel="0" collapsed="false">
      <c r="A24" s="8" t="n">
        <v>0.14</v>
      </c>
      <c r="B24" s="39" t="n">
        <f aca="false">IF((Panier_HT*$A24-B$22)&gt;0,ROUNDUP(Charges_fixes/(Panier_HT*$A24-B$22),0),"non rentable")</f>
        <v>33</v>
      </c>
      <c r="C24" s="39" t="n">
        <f aca="false">IF((Panier_HT*$A24-C$22)&gt;0,ROUNDUP(Charges_fixes/(Panier_HT*$A24-C$22),0),"non rentable")</f>
        <v>49</v>
      </c>
      <c r="D24" s="39" t="n">
        <f aca="false">IF((Panier_HT*$A24-D$22)&gt;0,ROUNDUP(Charges_fixes/(Panier_HT*$A24-D$22),0),"non rentable")</f>
        <v>55</v>
      </c>
      <c r="E24" s="39" t="n">
        <f aca="false">IF((Panier_HT*$A24-E$22)&gt;0,ROUNDUP(Charges_fixes/(Panier_HT*$A24-E$22),0),"non rentable")</f>
        <v>64</v>
      </c>
      <c r="F24" s="39" t="n">
        <f aca="false">IF((Panier_HT*$A24-F$22)&gt;0,ROUNDUP(Charges_fixes/(Panier_HT*$A24-F$22),0),"non rentable")</f>
        <v>93</v>
      </c>
      <c r="G24" s="39" t="n">
        <f aca="false">IF((Panier_HT*$A24-G$22)&gt;0,ROUNDUP(Charges_fixes/(Panier_HT*$A24-G$22),0),"non rentable")</f>
        <v>174</v>
      </c>
      <c r="H24" s="39" t="n">
        <f aca="false">IF((Panier_HT*$A24-H$22)&gt;0,ROUNDUP(Charges_fixes/(Panier_HT*$A24-H$22),0),"non rentable")</f>
        <v>1319</v>
      </c>
      <c r="I24" s="39" t="str">
        <f aca="false">IF((Panier_HT*$A24-I$22)&gt;0,ROUNDUP(Charges_fixes/(Panier_HT*$A24-I$22),0),"non rentable")</f>
        <v>non rentable</v>
      </c>
    </row>
    <row r="25" customFormat="false" ht="15" hidden="false" customHeight="false" outlineLevel="0" collapsed="false">
      <c r="A25" s="8" t="n">
        <v>0.15</v>
      </c>
      <c r="B25" s="39" t="n">
        <f aca="false">IF((Panier_HT*$A25-B$22)&gt;0,ROUNDUP(Charges_fixes/(Panier_HT*$A25-B$22),0),"non rentable")</f>
        <v>31</v>
      </c>
      <c r="C25" s="39" t="n">
        <f aca="false">IF((Panier_HT*$A25-C$22)&gt;0,ROUNDUP(Charges_fixes/(Panier_HT*$A25-C$22),0),"non rentable")</f>
        <v>44</v>
      </c>
      <c r="D25" s="39" t="n">
        <f aca="false">IF((Panier_HT*$A25-D$22)&gt;0,ROUNDUP(Charges_fixes/(Panier_HT*$A25-D$22),0),"non rentable")</f>
        <v>49</v>
      </c>
      <c r="E25" s="39" t="n">
        <f aca="false">IF((Panier_HT*$A25-E$22)&gt;0,ROUNDUP(Charges_fixes/(Panier_HT*$A25-E$22),0),"non rentable")</f>
        <v>56</v>
      </c>
      <c r="F25" s="39" t="n">
        <f aca="false">IF((Panier_HT*$A25-F$22)&gt;0,ROUNDUP(Charges_fixes/(Panier_HT*$A25-F$22),0),"non rentable")</f>
        <v>78</v>
      </c>
      <c r="G25" s="39" t="n">
        <f aca="false">IF((Panier_HT*$A25-G$22)&gt;0,ROUNDUP(Charges_fixes/(Panier_HT*$A25-G$22),0),"non rentable")</f>
        <v>126</v>
      </c>
      <c r="H25" s="39" t="n">
        <f aca="false">IF((Panier_HT*$A25-H$22)&gt;0,ROUNDUP(Charges_fixes/(Panier_HT*$A25-H$22),0),"non rentable")</f>
        <v>339</v>
      </c>
      <c r="I25" s="39" t="str">
        <f aca="false">IF((Panier_HT*$A25-I$22)&gt;0,ROUNDUP(Charges_fixes/(Panier_HT*$A25-I$22),0),"non rentable")</f>
        <v>non rentable</v>
      </c>
    </row>
    <row r="26" customFormat="false" ht="15" hidden="false" customHeight="false" outlineLevel="0" collapsed="false">
      <c r="A26" s="8" t="n">
        <v>0.16</v>
      </c>
      <c r="B26" s="39" t="n">
        <f aca="false">IF((Panier_HT*$A26-B$22)&gt;0,ROUNDUP(Charges_fixes/(Panier_HT*$A26-B$22),0),"non rentable")</f>
        <v>29</v>
      </c>
      <c r="C26" s="39" t="n">
        <f aca="false">IF((Panier_HT*$A26-C$22)&gt;0,ROUNDUP(Charges_fixes/(Panier_HT*$A26-C$22),0),"non rentable")</f>
        <v>40</v>
      </c>
      <c r="D26" s="39" t="n">
        <f aca="false">IF((Panier_HT*$A26-D$22)&gt;0,ROUNDUP(Charges_fixes/(Panier_HT*$A26-D$22),0),"non rentable")</f>
        <v>45</v>
      </c>
      <c r="E26" s="39" t="n">
        <f aca="false">IF((Panier_HT*$A26-E$22)&gt;0,ROUNDUP(Charges_fixes/(Panier_HT*$A26-E$22),0),"non rentable")</f>
        <v>50</v>
      </c>
      <c r="F26" s="39" t="n">
        <f aca="false">IF((Panier_HT*$A26-F$22)&gt;0,ROUNDUP(Charges_fixes/(Panier_HT*$A26-F$22),0),"non rentable")</f>
        <v>66</v>
      </c>
      <c r="G26" s="39" t="n">
        <f aca="false">IF((Panier_HT*$A26-G$22)&gt;0,ROUNDUP(Charges_fixes/(Panier_HT*$A26-G$22),0),"non rentable")</f>
        <v>99</v>
      </c>
      <c r="H26" s="39" t="n">
        <f aca="false">IF((Panier_HT*$A26-H$22)&gt;0,ROUNDUP(Charges_fixes/(Panier_HT*$A26-H$22),0),"non rentable")</f>
        <v>195</v>
      </c>
      <c r="I26" s="39" t="str">
        <f aca="false">IF((Panier_HT*$A26-I$22)&gt;0,ROUNDUP(Charges_fixes/(Panier_HT*$A26-I$22),0),"non rentable")</f>
        <v>non rentable</v>
      </c>
    </row>
    <row r="27" customFormat="false" ht="15" hidden="false" customHeight="false" outlineLevel="0" collapsed="false">
      <c r="A27" s="8" t="n">
        <v>0.18</v>
      </c>
      <c r="B27" s="39" t="n">
        <f aca="false">IF((Panier_HT*$A27-B$22)&gt;0,ROUNDUP(Charges_fixes/(Panier_HT*$A27-B$22),0),"non rentable")</f>
        <v>26</v>
      </c>
      <c r="C27" s="39" t="n">
        <f aca="false">IF((Panier_HT*$A27-C$22)&gt;0,ROUNDUP(Charges_fixes/(Panier_HT*$A27-C$22),0),"non rentable")</f>
        <v>34</v>
      </c>
      <c r="D27" s="39" t="n">
        <f aca="false">IF((Panier_HT*$A27-D$22)&gt;0,ROUNDUP(Charges_fixes/(Panier_HT*$A27-D$22),0),"non rentable")</f>
        <v>37</v>
      </c>
      <c r="E27" s="39" t="n">
        <f aca="false">IF((Panier_HT*$A27-E$22)&gt;0,ROUNDUP(Charges_fixes/(Panier_HT*$A27-E$22),0),"non rentable")</f>
        <v>41</v>
      </c>
      <c r="F27" s="39" t="n">
        <f aca="false">IF((Panier_HT*$A27-F$22)&gt;0,ROUNDUP(Charges_fixes/(Panier_HT*$A27-F$22),0),"non rentable")</f>
        <v>52</v>
      </c>
      <c r="G27" s="39" t="n">
        <f aca="false">IF((Panier_HT*$A27-G$22)&gt;0,ROUNDUP(Charges_fixes/(Panier_HT*$A27-G$22),0),"non rentable")</f>
        <v>69</v>
      </c>
      <c r="H27" s="39" t="n">
        <f aca="false">IF((Panier_HT*$A27-H$22)&gt;0,ROUNDUP(Charges_fixes/(Panier_HT*$A27-H$22),0),"non rentable")</f>
        <v>105</v>
      </c>
      <c r="I27" s="39" t="n">
        <f aca="false">IF((Panier_HT*$A27-I$22)&gt;0,ROUNDUP(Charges_fixes/(Panier_HT*$A27-I$22),0),"non rentable")</f>
        <v>489</v>
      </c>
    </row>
    <row r="28" customFormat="false" ht="15" hidden="false" customHeight="false" outlineLevel="0" collapsed="false">
      <c r="A28" s="8" t="n">
        <v>0.2</v>
      </c>
      <c r="B28" s="39" t="n">
        <f aca="false">IF((Panier_HT*$A28-B$22)&gt;0,ROUNDUP(Charges_fixes/(Panier_HT*$A28-B$22),0),"non rentable")</f>
        <v>23</v>
      </c>
      <c r="C28" s="39" t="n">
        <f aca="false">IF((Panier_HT*$A28-C$22)&gt;0,ROUNDUP(Charges_fixes/(Panier_HT*$A28-C$22),0),"non rentable")</f>
        <v>30</v>
      </c>
      <c r="D28" s="39" t="n">
        <f aca="false">IF((Panier_HT*$A28-D$22)&gt;0,ROUNDUP(Charges_fixes/(Panier_HT*$A28-D$22),0),"non rentable")</f>
        <v>32</v>
      </c>
      <c r="E28" s="39" t="n">
        <f aca="false">IF((Panier_HT*$A28-E$22)&gt;0,ROUNDUP(Charges_fixes/(Panier_HT*$A28-E$22),0),"non rentable")</f>
        <v>35</v>
      </c>
      <c r="F28" s="39" t="n">
        <f aca="false">IF((Panier_HT*$A28-F$22)&gt;0,ROUNDUP(Charges_fixes/(Panier_HT*$A28-F$22),0),"non rentable")</f>
        <v>42</v>
      </c>
      <c r="G28" s="39" t="n">
        <f aca="false">IF((Panier_HT*$A28-G$22)&gt;0,ROUNDUP(Charges_fixes/(Panier_HT*$A28-G$22),0),"non rentable")</f>
        <v>53</v>
      </c>
      <c r="H28" s="39" t="n">
        <f aca="false">IF((Panier_HT*$A28-H$22)&gt;0,ROUNDUP(Charges_fixes/(Panier_HT*$A28-H$22),0),"non rentable")</f>
        <v>72</v>
      </c>
      <c r="I28" s="39" t="n">
        <f aca="false">IF((Panier_HT*$A28-I$22)&gt;0,ROUNDUP(Charges_fixes/(Panier_HT*$A28-I$22),0),"non rentable")</f>
        <v>156</v>
      </c>
    </row>
    <row r="29" customFormat="false" ht="15" hidden="false" customHeight="false" outlineLevel="0" collapsed="false">
      <c r="A29" s="8" t="n">
        <v>0.22</v>
      </c>
      <c r="B29" s="39" t="n">
        <f aca="false">IF((Panier_HT*$A29-B$22)&gt;0,ROUNDUP(Charges_fixes/(Panier_HT*$A29-B$22),0),"non rentable")</f>
        <v>21</v>
      </c>
      <c r="C29" s="39" t="n">
        <f aca="false">IF((Panier_HT*$A29-C$22)&gt;0,ROUNDUP(Charges_fixes/(Panier_HT*$A29-C$22),0),"non rentable")</f>
        <v>27</v>
      </c>
      <c r="D29" s="39" t="n">
        <f aca="false">IF((Panier_HT*$A29-D$22)&gt;0,ROUNDUP(Charges_fixes/(Panier_HT*$A29-D$22),0),"non rentable")</f>
        <v>28</v>
      </c>
      <c r="E29" s="39" t="n">
        <f aca="false">IF((Panier_HT*$A29-E$22)&gt;0,ROUNDUP(Charges_fixes/(Panier_HT*$A29-E$22),0),"non rentable")</f>
        <v>30</v>
      </c>
      <c r="F29" s="39" t="n">
        <f aca="false">IF((Panier_HT*$A29-F$22)&gt;0,ROUNDUP(Charges_fixes/(Panier_HT*$A29-F$22),0),"non rentable")</f>
        <v>36</v>
      </c>
      <c r="G29" s="39" t="n">
        <f aca="false">IF((Panier_HT*$A29-G$22)&gt;0,ROUNDUP(Charges_fixes/(Panier_HT*$A29-G$22),0),"non rentable")</f>
        <v>43</v>
      </c>
      <c r="H29" s="39" t="n">
        <f aca="false">IF((Panier_HT*$A29-H$22)&gt;0,ROUNDUP(Charges_fixes/(Panier_HT*$A29-H$22),0),"non rentable")</f>
        <v>55</v>
      </c>
      <c r="I29" s="39" t="n">
        <f aca="false">IF((Panier_HT*$A29-I$22)&gt;0,ROUNDUP(Charges_fixes/(Panier_HT*$A29-I$22),0),"non rentable")</f>
        <v>93</v>
      </c>
    </row>
    <row r="30" customFormat="false" ht="15" hidden="false" customHeight="false" outlineLevel="0" collapsed="false">
      <c r="A30" s="8" t="n">
        <v>0.24</v>
      </c>
      <c r="B30" s="39" t="n">
        <f aca="false">IF((Panier_HT*$A30-B$22)&gt;0,ROUNDUP(Charges_fixes/(Panier_HT*$A30-B$22),0),"non rentable")</f>
        <v>19</v>
      </c>
      <c r="C30" s="39" t="n">
        <f aca="false">IF((Panier_HT*$A30-C$22)&gt;0,ROUNDUP(Charges_fixes/(Panier_HT*$A30-C$22),0),"non rentable")</f>
        <v>24</v>
      </c>
      <c r="D30" s="39" t="n">
        <f aca="false">IF((Panier_HT*$A30-D$22)&gt;0,ROUNDUP(Charges_fixes/(Panier_HT*$A30-D$22),0),"non rentable")</f>
        <v>25</v>
      </c>
      <c r="E30" s="39" t="n">
        <f aca="false">IF((Panier_HT*$A30-E$22)&gt;0,ROUNDUP(Charges_fixes/(Panier_HT*$A30-E$22),0),"non rentable")</f>
        <v>27</v>
      </c>
      <c r="F30" s="39" t="n">
        <f aca="false">IF((Panier_HT*$A30-F$22)&gt;0,ROUNDUP(Charges_fixes/(Panier_HT*$A30-F$22),0),"non rentable")</f>
        <v>31</v>
      </c>
      <c r="G30" s="39" t="n">
        <f aca="false">IF((Panier_HT*$A30-G$22)&gt;0,ROUNDUP(Charges_fixes/(Panier_HT*$A30-G$22),0),"non rentable")</f>
        <v>37</v>
      </c>
      <c r="H30" s="39" t="n">
        <f aca="false">IF((Panier_HT*$A30-H$22)&gt;0,ROUNDUP(Charges_fixes/(Panier_HT*$A30-H$22),0),"non rentable")</f>
        <v>44</v>
      </c>
      <c r="I30" s="39" t="n">
        <f aca="false">IF((Panier_HT*$A30-I$22)&gt;0,ROUNDUP(Charges_fixes/(Panier_HT*$A30-I$22),0),"non rentable")</f>
        <v>66</v>
      </c>
    </row>
    <row r="31" customFormat="false" ht="15" hidden="false" customHeight="false" outlineLevel="0" collapsed="false">
      <c r="A31" s="8" t="n">
        <v>0.26</v>
      </c>
      <c r="B31" s="39" t="n">
        <f aca="false">IF((Panier_HT*$A31-B$22)&gt;0,ROUNDUP(Charges_fixes/(Panier_HT*$A31-B$22),0),"non rentable")</f>
        <v>18</v>
      </c>
      <c r="C31" s="39" t="n">
        <f aca="false">IF((Panier_HT*$A31-C$22)&gt;0,ROUNDUP(Charges_fixes/(Panier_HT*$A31-C$22),0),"non rentable")</f>
        <v>22</v>
      </c>
      <c r="D31" s="39" t="n">
        <f aca="false">IF((Panier_HT*$A31-D$22)&gt;0,ROUNDUP(Charges_fixes/(Panier_HT*$A31-D$22),0),"non rentable")</f>
        <v>23</v>
      </c>
      <c r="E31" s="39" t="n">
        <f aca="false">IF((Panier_HT*$A31-E$22)&gt;0,ROUNDUP(Charges_fixes/(Panier_HT*$A31-E$22),0),"non rentable")</f>
        <v>24</v>
      </c>
      <c r="F31" s="39" t="n">
        <f aca="false">IF((Panier_HT*$A31-F$22)&gt;0,ROUNDUP(Charges_fixes/(Panier_HT*$A31-F$22),0),"non rentable")</f>
        <v>27</v>
      </c>
      <c r="G31" s="39" t="n">
        <f aca="false">IF((Panier_HT*$A31-G$22)&gt;0,ROUNDUP(Charges_fixes/(Panier_HT*$A31-G$22),0),"non rentable")</f>
        <v>32</v>
      </c>
      <c r="H31" s="39" t="n">
        <f aca="false">IF((Panier_HT*$A31-H$22)&gt;0,ROUNDUP(Charges_fixes/(Panier_HT*$A31-H$22),0),"non rentable")</f>
        <v>37</v>
      </c>
      <c r="I31" s="39" t="n">
        <f aca="false">IF((Panier_HT*$A31-I$22)&gt;0,ROUNDUP(Charges_fixes/(Panier_HT*$A31-I$22),0),"non rentable")</f>
        <v>51</v>
      </c>
    </row>
    <row r="33" customFormat="false" ht="15" hidden="false" customHeight="false" outlineLevel="0" collapsed="false">
      <c r="A33" s="4" t="s">
        <v>355</v>
      </c>
      <c r="B33" s="5"/>
      <c r="C33" s="5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6" t="s">
        <v>354</v>
      </c>
      <c r="B34" s="11" t="n">
        <v>0</v>
      </c>
      <c r="C34" s="11" t="n">
        <v>4</v>
      </c>
      <c r="D34" s="11" t="n">
        <v>5</v>
      </c>
      <c r="E34" s="11" t="n">
        <v>6</v>
      </c>
      <c r="F34" s="11" t="n">
        <v>8</v>
      </c>
      <c r="G34" s="11" t="n">
        <v>10</v>
      </c>
      <c r="H34" s="11" t="n">
        <v>12</v>
      </c>
      <c r="I34" s="11" t="n">
        <v>15</v>
      </c>
    </row>
    <row r="35" customFormat="false" ht="15" hidden="false" customHeight="false" outlineLevel="0" collapsed="false">
      <c r="A35" s="8" t="n">
        <v>0.12</v>
      </c>
      <c r="B35" s="39" t="n">
        <f aca="false">IF((Panier_HT*$A35-B$34)&gt;0,ROUNDUP((Charges_fixes+Remuneration)/(Panier_HT*$A35-B$34),0),"non rentable")</f>
        <v>228</v>
      </c>
      <c r="C35" s="39" t="n">
        <f aca="false">IF((Panier_HT*$A35-C$34)&gt;0,ROUNDUP((Charges_fixes+Remuneration)/(Panier_HT*$A35-C$34),0),"non rentable")</f>
        <v>367</v>
      </c>
      <c r="D35" s="39" t="n">
        <f aca="false">IF((Panier_HT*$A35-D$34)&gt;0,ROUNDUP((Charges_fixes+Remuneration)/(Panier_HT*$A35-D$34),0),"non rentable")</f>
        <v>433</v>
      </c>
      <c r="E35" s="39" t="n">
        <f aca="false">IF((Panier_HT*$A35-E$34)&gt;0,ROUNDUP((Charges_fixes+Remuneration)/(Panier_HT*$A35-E$34),0),"non rentable")</f>
        <v>528</v>
      </c>
      <c r="F35" s="39" t="n">
        <f aca="false">IF((Panier_HT*$A35-F$34)&gt;0,ROUNDUP((Charges_fixes+Remuneration)/(Panier_HT*$A35-F$34),0),"non rentable")</f>
        <v>943</v>
      </c>
      <c r="G35" s="39" t="n">
        <f aca="false">IF((Panier_HT*$A35-G$34)&gt;0,ROUNDUP((Charges_fixes+Remuneration)/(Panier_HT*$A35-G$34),0),"non rentable")</f>
        <v>4398</v>
      </c>
      <c r="H35" s="39" t="str">
        <f aca="false">IF((Panier_HT*$A35-H$34)&gt;0,ROUNDUP((Charges_fixes+Remuneration)/(Panier_HT*$A35-H$34),0),"non rentable")</f>
        <v>non rentable</v>
      </c>
      <c r="I35" s="39" t="str">
        <f aca="false">IF((Panier_HT*$A35-I$34)&gt;0,ROUNDUP((Charges_fixes+Remuneration)/(Panier_HT*$A35-I$34),0),"non rentable")</f>
        <v>non rentable</v>
      </c>
    </row>
    <row r="36" customFormat="false" ht="15" hidden="false" customHeight="false" outlineLevel="0" collapsed="false">
      <c r="A36" s="8" t="n">
        <v>0.14</v>
      </c>
      <c r="B36" s="39" t="n">
        <f aca="false">IF((Panier_HT*$A36-B$34)&gt;0,ROUNDUP((Charges_fixes+Remuneration)/(Panier_HT*$A36-B$34),0),"non rentable")</f>
        <v>196</v>
      </c>
      <c r="C36" s="39" t="n">
        <f aca="false">IF((Panier_HT*$A36-C$34)&gt;0,ROUNDUP((Charges_fixes+Remuneration)/(Panier_HT*$A36-C$34),0),"non rentable")</f>
        <v>290</v>
      </c>
      <c r="D36" s="39" t="n">
        <f aca="false">IF((Panier_HT*$A36-D$34)&gt;0,ROUNDUP((Charges_fixes+Remuneration)/(Panier_HT*$A36-D$34),0),"non rentable")</f>
        <v>329</v>
      </c>
      <c r="E36" s="39" t="n">
        <f aca="false">IF((Panier_HT*$A36-E$34)&gt;0,ROUNDUP((Charges_fixes+Remuneration)/(Panier_HT*$A36-E$34),0),"non rentable")</f>
        <v>381</v>
      </c>
      <c r="F36" s="39" t="n">
        <f aca="false">IF((Panier_HT*$A36-F$34)&gt;0,ROUNDUP((Charges_fixes+Remuneration)/(Panier_HT*$A36-F$34),0),"non rentable")</f>
        <v>558</v>
      </c>
      <c r="G36" s="39" t="n">
        <f aca="false">IF((Panier_HT*$A36-G$34)&gt;0,ROUNDUP((Charges_fixes+Remuneration)/(Panier_HT*$A36-G$34),0),"non rentable")</f>
        <v>1042</v>
      </c>
      <c r="H36" s="39" t="n">
        <f aca="false">IF((Panier_HT*$A36-H$34)&gt;0,ROUNDUP((Charges_fixes+Remuneration)/(Panier_HT*$A36-H$34),0),"non rentable")</f>
        <v>7910</v>
      </c>
      <c r="I36" s="39" t="str">
        <f aca="false">IF((Panier_HT*$A36-I$34)&gt;0,ROUNDUP((Charges_fixes+Remuneration)/(Panier_HT*$A36-I$34),0),"non rentable")</f>
        <v>non rentable</v>
      </c>
    </row>
    <row r="37" customFormat="false" ht="15" hidden="false" customHeight="false" outlineLevel="0" collapsed="false">
      <c r="A37" s="8" t="n">
        <v>0.15</v>
      </c>
      <c r="B37" s="39" t="n">
        <f aca="false">IF((Panier_HT*$A37-B$34)&gt;0,ROUNDUP((Charges_fixes+Remuneration)/(Panier_HT*$A37-B$34),0),"non rentable")</f>
        <v>183</v>
      </c>
      <c r="C37" s="39" t="n">
        <f aca="false">IF((Panier_HT*$A37-C$34)&gt;0,ROUNDUP((Charges_fixes+Remuneration)/(Panier_HT*$A37-C$34),0),"non rentable")</f>
        <v>262</v>
      </c>
      <c r="D37" s="39" t="n">
        <f aca="false">IF((Panier_HT*$A37-D$34)&gt;0,ROUNDUP((Charges_fixes+Remuneration)/(Panier_HT*$A37-D$34),0),"non rentable")</f>
        <v>294</v>
      </c>
      <c r="E37" s="39" t="n">
        <f aca="false">IF((Panier_HT*$A37-E$34)&gt;0,ROUNDUP((Charges_fixes+Remuneration)/(Panier_HT*$A37-E$34),0),"non rentable")</f>
        <v>335</v>
      </c>
      <c r="F37" s="39" t="n">
        <f aca="false">IF((Panier_HT*$A37-F$34)&gt;0,ROUNDUP((Charges_fixes+Remuneration)/(Panier_HT*$A37-F$34),0),"non rentable")</f>
        <v>464</v>
      </c>
      <c r="G37" s="39" t="n">
        <f aca="false">IF((Panier_HT*$A37-G$34)&gt;0,ROUNDUP((Charges_fixes+Remuneration)/(Panier_HT*$A37-G$34),0),"non rentable")</f>
        <v>755</v>
      </c>
      <c r="H37" s="39" t="n">
        <f aca="false">IF((Panier_HT*$A37-H$34)&gt;0,ROUNDUP((Charges_fixes+Remuneration)/(Panier_HT*$A37-H$34),0),"non rentable")</f>
        <v>2031</v>
      </c>
      <c r="I37" s="39" t="str">
        <f aca="false">IF((Panier_HT*$A37-I$34)&gt;0,ROUNDUP((Charges_fixes+Remuneration)/(Panier_HT*$A37-I$34),0),"non rentable")</f>
        <v>non rentable</v>
      </c>
    </row>
    <row r="38" customFormat="false" ht="15" hidden="false" customHeight="false" outlineLevel="0" collapsed="false">
      <c r="A38" s="8" t="n">
        <v>0.16</v>
      </c>
      <c r="B38" s="39" t="n">
        <f aca="false">IF((Panier_HT*$A38-B$34)&gt;0,ROUNDUP((Charges_fixes+Remuneration)/(Panier_HT*$A38-B$34),0),"non rentable")</f>
        <v>171</v>
      </c>
      <c r="C38" s="39" t="n">
        <f aca="false">IF((Panier_HT*$A38-C$34)&gt;0,ROUNDUP((Charges_fixes+Remuneration)/(Panier_HT*$A38-C$34),0),"non rentable")</f>
        <v>239</v>
      </c>
      <c r="D38" s="39" t="n">
        <f aca="false">IF((Panier_HT*$A38-D$34)&gt;0,ROUNDUP((Charges_fixes+Remuneration)/(Panier_HT*$A38-D$34),0),"non rentable")</f>
        <v>265</v>
      </c>
      <c r="E38" s="39" t="n">
        <f aca="false">IF((Panier_HT*$A38-E$34)&gt;0,ROUNDUP((Charges_fixes+Remuneration)/(Panier_HT*$A38-E$34),0),"non rentable")</f>
        <v>298</v>
      </c>
      <c r="F38" s="39" t="n">
        <f aca="false">IF((Panier_HT*$A38-F$34)&gt;0,ROUNDUP((Charges_fixes+Remuneration)/(Panier_HT*$A38-F$34),0),"non rentable")</f>
        <v>396</v>
      </c>
      <c r="G38" s="39" t="n">
        <f aca="false">IF((Panier_HT*$A38-G$34)&gt;0,ROUNDUP((Charges_fixes+Remuneration)/(Panier_HT*$A38-G$34),0),"non rentable")</f>
        <v>591</v>
      </c>
      <c r="H38" s="39" t="n">
        <f aca="false">IF((Panier_HT*$A38-H$34)&gt;0,ROUNDUP((Charges_fixes+Remuneration)/(Panier_HT*$A38-H$34),0),"non rentable")</f>
        <v>1165</v>
      </c>
      <c r="I38" s="39" t="str">
        <f aca="false">IF((Panier_HT*$A38-I$34)&gt;0,ROUNDUP((Charges_fixes+Remuneration)/(Panier_HT*$A38-I$34),0),"non rentable")</f>
        <v>non rentable</v>
      </c>
    </row>
    <row r="39" customFormat="false" ht="15" hidden="false" customHeight="false" outlineLevel="0" collapsed="false">
      <c r="A39" s="8" t="n">
        <v>0.18</v>
      </c>
      <c r="B39" s="39" t="n">
        <f aca="false">IF((Panier_HT*$A39-B$34)&gt;0,ROUNDUP((Charges_fixes+Remuneration)/(Panier_HT*$A39-B$34),0),"non rentable")</f>
        <v>152</v>
      </c>
      <c r="C39" s="39" t="n">
        <f aca="false">IF((Panier_HT*$A39-C$34)&gt;0,ROUNDUP((Charges_fixes+Remuneration)/(Panier_HT*$A39-C$34),0),"non rentable")</f>
        <v>204</v>
      </c>
      <c r="D39" s="39" t="n">
        <f aca="false">IF((Panier_HT*$A39-D$34)&gt;0,ROUNDUP((Charges_fixes+Remuneration)/(Panier_HT*$A39-D$34),0),"non rentable")</f>
        <v>222</v>
      </c>
      <c r="E39" s="39" t="n">
        <f aca="false">IF((Panier_HT*$A39-E$34)&gt;0,ROUNDUP((Charges_fixes+Remuneration)/(Panier_HT*$A39-E$34),0),"non rentable")</f>
        <v>245</v>
      </c>
      <c r="F39" s="39" t="n">
        <f aca="false">IF((Panier_HT*$A39-F$34)&gt;0,ROUNDUP((Charges_fixes+Remuneration)/(Panier_HT*$A39-F$34),0),"non rentable")</f>
        <v>307</v>
      </c>
      <c r="G39" s="39" t="n">
        <f aca="false">IF((Panier_HT*$A39-G$34)&gt;0,ROUNDUP((Charges_fixes+Remuneration)/(Panier_HT*$A39-G$34),0),"non rentable")</f>
        <v>413</v>
      </c>
      <c r="H39" s="39" t="n">
        <f aca="false">IF((Panier_HT*$A39-H$34)&gt;0,ROUNDUP((Charges_fixes+Remuneration)/(Panier_HT*$A39-H$34),0),"non rentable")</f>
        <v>629</v>
      </c>
      <c r="I39" s="39" t="n">
        <f aca="false">IF((Panier_HT*$A39-I$34)&gt;0,ROUNDUP((Charges_fixes+Remuneration)/(Panier_HT*$A39-I$34),0),"non rentable")</f>
        <v>2932</v>
      </c>
    </row>
    <row r="40" customFormat="false" ht="15" hidden="false" customHeight="false" outlineLevel="0" collapsed="false">
      <c r="A40" s="8" t="n">
        <v>0.2</v>
      </c>
      <c r="B40" s="39" t="n">
        <f aca="false">IF((Panier_HT*$A40-B$34)&gt;0,ROUNDUP((Charges_fixes+Remuneration)/(Panier_HT*$A40-B$34),0),"non rentable")</f>
        <v>137</v>
      </c>
      <c r="C40" s="39" t="n">
        <f aca="false">IF((Panier_HT*$A40-C$34)&gt;0,ROUNDUP((Charges_fixes+Remuneration)/(Panier_HT*$A40-C$34),0),"non rentable")</f>
        <v>177</v>
      </c>
      <c r="D40" s="39" t="n">
        <f aca="false">IF((Panier_HT*$A40-D$34)&gt;0,ROUNDUP((Charges_fixes+Remuneration)/(Panier_HT*$A40-D$34),0),"non rentable")</f>
        <v>191</v>
      </c>
      <c r="E40" s="39" t="n">
        <f aca="false">IF((Panier_HT*$A40-E$34)&gt;0,ROUNDUP((Charges_fixes+Remuneration)/(Panier_HT*$A40-E$34),0),"non rentable")</f>
        <v>208</v>
      </c>
      <c r="F40" s="39" t="n">
        <f aca="false">IF((Panier_HT*$A40-F$34)&gt;0,ROUNDUP((Charges_fixes+Remuneration)/(Panier_HT*$A40-F$34),0),"non rentable")</f>
        <v>251</v>
      </c>
      <c r="G40" s="39" t="n">
        <f aca="false">IF((Panier_HT*$A40-G$34)&gt;0,ROUNDUP((Charges_fixes+Remuneration)/(Panier_HT*$A40-G$34),0),"non rentable")</f>
        <v>317</v>
      </c>
      <c r="H40" s="39" t="n">
        <f aca="false">IF((Panier_HT*$A40-H$34)&gt;0,ROUNDUP((Charges_fixes+Remuneration)/(Panier_HT*$A40-H$34),0),"non rentable")</f>
        <v>431</v>
      </c>
      <c r="I40" s="39" t="n">
        <f aca="false">IF((Panier_HT*$A40-I$34)&gt;0,ROUNDUP((Charges_fixes+Remuneration)/(Panier_HT*$A40-I$34),0),"non rentable")</f>
        <v>932</v>
      </c>
    </row>
    <row r="41" customFormat="false" ht="15" hidden="false" customHeight="false" outlineLevel="0" collapsed="false">
      <c r="A41" s="8" t="n">
        <v>0.22</v>
      </c>
      <c r="B41" s="39" t="n">
        <f aca="false">IF((Panier_HT*$A41-B$34)&gt;0,ROUNDUP((Charges_fixes+Remuneration)/(Panier_HT*$A41-B$34),0),"non rentable")</f>
        <v>125</v>
      </c>
      <c r="C41" s="39" t="n">
        <f aca="false">IF((Panier_HT*$A41-C$34)&gt;0,ROUNDUP((Charges_fixes+Remuneration)/(Panier_HT*$A41-C$34),0),"non rentable")</f>
        <v>157</v>
      </c>
      <c r="D41" s="39" t="n">
        <f aca="false">IF((Panier_HT*$A41-D$34)&gt;0,ROUNDUP((Charges_fixes+Remuneration)/(Panier_HT*$A41-D$34),0),"non rentable")</f>
        <v>168</v>
      </c>
      <c r="E41" s="39" t="n">
        <f aca="false">IF((Panier_HT*$A41-E$34)&gt;0,ROUNDUP((Charges_fixes+Remuneration)/(Panier_HT*$A41-E$34),0),"non rentable")</f>
        <v>180</v>
      </c>
      <c r="F41" s="39" t="n">
        <f aca="false">IF((Panier_HT*$A41-F$34)&gt;0,ROUNDUP((Charges_fixes+Remuneration)/(Panier_HT*$A41-F$34),0),"non rentable")</f>
        <v>212</v>
      </c>
      <c r="G41" s="39" t="n">
        <f aca="false">IF((Panier_HT*$A41-G$34)&gt;0,ROUNDUP((Charges_fixes+Remuneration)/(Panier_HT*$A41-G$34),0),"non rentable")</f>
        <v>258</v>
      </c>
      <c r="H41" s="39" t="n">
        <f aca="false">IF((Panier_HT*$A41-H$34)&gt;0,ROUNDUP((Charges_fixes+Remuneration)/(Panier_HT*$A41-H$34),0),"non rentable")</f>
        <v>328</v>
      </c>
      <c r="I41" s="39" t="n">
        <f aca="false">IF((Panier_HT*$A41-I$34)&gt;0,ROUNDUP((Charges_fixes+Remuneration)/(Panier_HT*$A41-I$34),0),"non rentable")</f>
        <v>554</v>
      </c>
    </row>
    <row r="42" customFormat="false" ht="15" hidden="false" customHeight="false" outlineLevel="0" collapsed="false">
      <c r="A42" s="8" t="n">
        <v>0.24</v>
      </c>
      <c r="B42" s="39" t="n">
        <f aca="false">IF((Panier_HT*$A42-B$34)&gt;0,ROUNDUP((Charges_fixes+Remuneration)/(Panier_HT*$A42-B$34),0),"non rentable")</f>
        <v>114</v>
      </c>
      <c r="C42" s="39" t="n">
        <f aca="false">IF((Panier_HT*$A42-C$34)&gt;0,ROUNDUP((Charges_fixes+Remuneration)/(Panier_HT*$A42-C$34),0),"non rentable")</f>
        <v>141</v>
      </c>
      <c r="D42" s="39" t="n">
        <f aca="false">IF((Panier_HT*$A42-D$34)&gt;0,ROUNDUP((Charges_fixes+Remuneration)/(Panier_HT*$A42-D$34),0),"non rentable")</f>
        <v>150</v>
      </c>
      <c r="E42" s="39" t="n">
        <f aca="false">IF((Panier_HT*$A42-E$34)&gt;0,ROUNDUP((Charges_fixes+Remuneration)/(Panier_HT*$A42-E$34),0),"non rentable")</f>
        <v>160</v>
      </c>
      <c r="F42" s="39" t="n">
        <f aca="false">IF((Panier_HT*$A42-F$34)&gt;0,ROUNDUP((Charges_fixes+Remuneration)/(Panier_HT*$A42-F$34),0),"non rentable")</f>
        <v>184</v>
      </c>
      <c r="G42" s="39" t="n">
        <f aca="false">IF((Panier_HT*$A42-G$34)&gt;0,ROUNDUP((Charges_fixes+Remuneration)/(Panier_HT*$A42-G$34),0),"non rentable")</f>
        <v>217</v>
      </c>
      <c r="H42" s="39" t="n">
        <f aca="false">IF((Panier_HT*$A42-H$34)&gt;0,ROUNDUP((Charges_fixes+Remuneration)/(Panier_HT*$A42-H$34),0),"non rentable")</f>
        <v>264</v>
      </c>
      <c r="I42" s="39" t="n">
        <f aca="false">IF((Panier_HT*$A42-I$34)&gt;0,ROUNDUP((Charges_fixes+Remuneration)/(Panier_HT*$A42-I$34),0),"non rentable")</f>
        <v>394</v>
      </c>
    </row>
    <row r="43" customFormat="false" ht="15" hidden="false" customHeight="false" outlineLevel="0" collapsed="false">
      <c r="A43" s="8" t="n">
        <v>0.26</v>
      </c>
      <c r="B43" s="39" t="n">
        <f aca="false">IF((Panier_HT*$A43-B$34)&gt;0,ROUNDUP((Charges_fixes+Remuneration)/(Panier_HT*$A43-B$34),0),"non rentable")</f>
        <v>106</v>
      </c>
      <c r="C43" s="39" t="n">
        <f aca="false">IF((Panier_HT*$A43-C$34)&gt;0,ROUNDUP((Charges_fixes+Remuneration)/(Panier_HT*$A43-C$34),0),"non rentable")</f>
        <v>128</v>
      </c>
      <c r="D43" s="39" t="n">
        <f aca="false">IF((Panier_HT*$A43-D$34)&gt;0,ROUNDUP((Charges_fixes+Remuneration)/(Panier_HT*$A43-D$34),0),"non rentable")</f>
        <v>135</v>
      </c>
      <c r="E43" s="39" t="n">
        <f aca="false">IF((Panier_HT*$A43-E$34)&gt;0,ROUNDUP((Charges_fixes+Remuneration)/(Panier_HT*$A43-E$34),0),"non rentable")</f>
        <v>143</v>
      </c>
      <c r="F43" s="39" t="n">
        <f aca="false">IF((Panier_HT*$A43-F$34)&gt;0,ROUNDUP((Charges_fixes+Remuneration)/(Panier_HT*$A43-F$34),0),"non rentable")</f>
        <v>162</v>
      </c>
      <c r="G43" s="39" t="n">
        <f aca="false">IF((Panier_HT*$A43-G$34)&gt;0,ROUNDUP((Charges_fixes+Remuneration)/(Panier_HT*$A43-G$34),0),"non rentable")</f>
        <v>187</v>
      </c>
      <c r="H43" s="39" t="n">
        <f aca="false">IF((Panier_HT*$A43-H$34)&gt;0,ROUNDUP((Charges_fixes+Remuneration)/(Panier_HT*$A43-H$34),0),"non rentable")</f>
        <v>222</v>
      </c>
      <c r="I43" s="39" t="n">
        <f aca="false">IF((Panier_HT*$A43-I$34)&gt;0,ROUNDUP((Charges_fixes+Remuneration)/(Panier_HT*$A43-I$34),0),"non rentable")</f>
        <v>306</v>
      </c>
    </row>
  </sheetData>
  <conditionalFormatting sqref="F17:F18">
    <cfRule type="expression" priority="2" aboveAverage="0" equalAverage="0" bottom="0" percent="0" rank="0" text="" dxfId="0">
      <formula>LEFT(F17,3)="NON"</formula>
    </cfRule>
  </conditionalFormatting>
  <conditionalFormatting sqref="B23:I31">
    <cfRule type="expression" priority="3" aboveAverage="0" equalAverage="0" bottom="0" percent="0" rank="0" text="" dxfId="1">
      <formula>(Panier_HT*$A23-B$22)&lt;Plancher_CHF</formula>
    </cfRule>
  </conditionalFormatting>
  <conditionalFormatting sqref="B35:I43">
    <cfRule type="expression" priority="4" aboveAverage="0" equalAverage="0" bottom="0" percent="0" rank="0" text="" dxfId="1">
      <formula>(Panier_HT*$A35-B$34)&lt;Plancher_CHF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356</v>
      </c>
    </row>
    <row r="2" customFormat="false" ht="15" hidden="false" customHeight="false" outlineLevel="0" collapsed="false">
      <c r="A2" s="2" t="s">
        <v>357</v>
      </c>
    </row>
    <row r="4" customFormat="false" ht="23.85" hidden="false" customHeight="false" outlineLevel="0" collapsed="false">
      <c r="A4" s="6" t="s">
        <v>4</v>
      </c>
      <c r="B4" s="6" t="s">
        <v>358</v>
      </c>
      <c r="C4" s="6" t="s">
        <v>359</v>
      </c>
      <c r="D4" s="6" t="s">
        <v>6</v>
      </c>
      <c r="E4" s="6" t="s">
        <v>68</v>
      </c>
    </row>
    <row r="5" customFormat="false" ht="15" hidden="false" customHeight="false" outlineLevel="0" collapsed="false">
      <c r="A5" s="7" t="s">
        <v>360</v>
      </c>
      <c r="B5" s="11" t="n">
        <v>140</v>
      </c>
      <c r="C5" s="12" t="n">
        <f aca="false">B5</f>
        <v>140</v>
      </c>
      <c r="D5" s="7" t="s">
        <v>18</v>
      </c>
      <c r="E5" s="7" t="s">
        <v>361</v>
      </c>
    </row>
    <row r="6" customFormat="false" ht="15" hidden="false" customHeight="false" outlineLevel="0" collapsed="false">
      <c r="A6" s="7" t="s">
        <v>362</v>
      </c>
      <c r="B6" s="8" t="n">
        <v>0</v>
      </c>
      <c r="C6" s="51" t="n">
        <f aca="false">TVA</f>
        <v>0.081</v>
      </c>
      <c r="D6" s="7" t="s">
        <v>10</v>
      </c>
      <c r="E6" s="7" t="s">
        <v>363</v>
      </c>
    </row>
    <row r="7" customFormat="false" ht="15" hidden="false" customHeight="false" outlineLevel="0" collapsed="false">
      <c r="A7" s="7" t="s">
        <v>364</v>
      </c>
      <c r="B7" s="12" t="n">
        <f aca="false">B5*(1+B6)</f>
        <v>140</v>
      </c>
      <c r="C7" s="12" t="n">
        <f aca="false">C5*(1+C6)</f>
        <v>151.34</v>
      </c>
      <c r="D7" s="7" t="s">
        <v>18</v>
      </c>
      <c r="E7" s="7" t="s">
        <v>365</v>
      </c>
    </row>
    <row r="8" customFormat="false" ht="15" hidden="false" customHeight="false" outlineLevel="0" collapsed="false">
      <c r="A8" s="7" t="s">
        <v>114</v>
      </c>
      <c r="B8" s="8" t="n">
        <v>0.025</v>
      </c>
      <c r="C8" s="51" t="n">
        <f aca="false">B8</f>
        <v>0.025</v>
      </c>
      <c r="D8" s="7" t="s">
        <v>115</v>
      </c>
      <c r="E8" s="7" t="s">
        <v>366</v>
      </c>
    </row>
    <row r="9" customFormat="false" ht="15" hidden="false" customHeight="false" outlineLevel="0" collapsed="false">
      <c r="A9" s="7" t="s">
        <v>367</v>
      </c>
      <c r="B9" s="11" t="n">
        <v>0.3</v>
      </c>
      <c r="C9" s="12" t="n">
        <f aca="false">B9</f>
        <v>0.3</v>
      </c>
      <c r="D9" s="7" t="s">
        <v>18</v>
      </c>
      <c r="E9" s="7" t="s">
        <v>366</v>
      </c>
    </row>
    <row r="10" customFormat="false" ht="15" hidden="false" customHeight="false" outlineLevel="0" collapsed="false">
      <c r="A10" s="7" t="s">
        <v>368</v>
      </c>
      <c r="B10" s="11" t="n">
        <v>3</v>
      </c>
      <c r="C10" s="12" t="n">
        <f aca="false">B10</f>
        <v>3</v>
      </c>
      <c r="D10" s="7" t="s">
        <v>18</v>
      </c>
      <c r="E10" s="7" t="s">
        <v>366</v>
      </c>
    </row>
    <row r="11" customFormat="false" ht="15" hidden="false" customHeight="false" outlineLevel="0" collapsed="false">
      <c r="A11" s="7" t="s">
        <v>121</v>
      </c>
      <c r="B11" s="11" t="n">
        <v>1</v>
      </c>
      <c r="C11" s="12" t="n">
        <f aca="false">B11</f>
        <v>1</v>
      </c>
      <c r="D11" s="7" t="s">
        <v>18</v>
      </c>
      <c r="E11" s="7" t="s">
        <v>366</v>
      </c>
    </row>
    <row r="12" customFormat="false" ht="15" hidden="false" customHeight="false" outlineLevel="0" collapsed="false">
      <c r="A12" s="7" t="s">
        <v>369</v>
      </c>
      <c r="B12" s="11" t="n">
        <v>5</v>
      </c>
      <c r="C12" s="12" t="n">
        <f aca="false">B12</f>
        <v>5</v>
      </c>
      <c r="D12" s="7" t="s">
        <v>18</v>
      </c>
      <c r="E12" s="7" t="s">
        <v>366</v>
      </c>
    </row>
    <row r="13" customFormat="false" ht="15" hidden="false" customHeight="false" outlineLevel="0" collapsed="false">
      <c r="A13" s="7" t="s">
        <v>370</v>
      </c>
      <c r="B13" s="8" t="n">
        <v>0.2</v>
      </c>
      <c r="C13" s="51" t="n">
        <f aca="false">B13</f>
        <v>0.2</v>
      </c>
      <c r="D13" s="7" t="s">
        <v>371</v>
      </c>
      <c r="E13" s="7" t="s">
        <v>372</v>
      </c>
    </row>
    <row r="14" customFormat="false" ht="15" hidden="false" customHeight="false" outlineLevel="0" collapsed="false">
      <c r="A14" s="7" t="s">
        <v>373</v>
      </c>
      <c r="B14" s="51" t="n">
        <f aca="false">TVA</f>
        <v>0.081</v>
      </c>
      <c r="C14" s="8" t="n">
        <v>0</v>
      </c>
      <c r="D14" s="7" t="s">
        <v>10</v>
      </c>
      <c r="E14" s="7" t="s">
        <v>366</v>
      </c>
    </row>
    <row r="15" customFormat="false" ht="15" hidden="false" customHeight="false" outlineLevel="0" collapsed="false">
      <c r="A15" s="7" t="s">
        <v>374</v>
      </c>
      <c r="B15" s="12" t="n">
        <f aca="false">B7+B9+B10+B11+B12</f>
        <v>149.3</v>
      </c>
      <c r="C15" s="12" t="n">
        <f aca="false">C7+C9+C10+C11+C12</f>
        <v>160.64</v>
      </c>
    </row>
    <row r="16" customFormat="false" ht="15" hidden="false" customHeight="false" outlineLevel="0" collapsed="false">
      <c r="A16" s="7" t="s">
        <v>375</v>
      </c>
      <c r="B16" s="60" t="n">
        <f aca="false">(1-B13)/(1+B14)-B8</f>
        <v>0.715055504162812</v>
      </c>
      <c r="C16" s="60" t="n">
        <f aca="false">(1-C13)/(1+C14)-C8</f>
        <v>0.775</v>
      </c>
    </row>
    <row r="17" customFormat="false" ht="15" hidden="false" customHeight="false" outlineLevel="0" collapsed="false">
      <c r="A17" s="7" t="s">
        <v>376</v>
      </c>
      <c r="B17" s="54" t="n">
        <f aca="false">IF(B16&gt;0,B15/B16,"dénominateur ≤ 0 : marge impossible")</f>
        <v>208.794980432744</v>
      </c>
      <c r="C17" s="54" t="n">
        <f aca="false">IF(C16&gt;0,C15/C16,"dénominateur ≤ 0 : marge impossible")</f>
        <v>207.277419354839</v>
      </c>
    </row>
    <row r="18" customFormat="false" ht="15" hidden="false" customHeight="false" outlineLevel="0" collapsed="false">
      <c r="A18" s="43" t="s">
        <v>377</v>
      </c>
      <c r="B18" s="61" t="n">
        <f aca="false">ROUND(B17,2)</f>
        <v>208.79</v>
      </c>
      <c r="C18" s="61" t="n">
        <f aca="false">ROUND(C17,2)</f>
        <v>207.28</v>
      </c>
    </row>
    <row r="19" customFormat="false" ht="15" hidden="false" customHeight="false" outlineLevel="0" collapsed="false">
      <c r="A19" s="7" t="s">
        <v>378</v>
      </c>
      <c r="B19" s="11" t="n">
        <v>10</v>
      </c>
      <c r="C19" s="12" t="n">
        <f aca="false">B19</f>
        <v>10</v>
      </c>
    </row>
    <row r="20" customFormat="false" ht="15" hidden="false" customHeight="false" outlineLevel="0" collapsed="false">
      <c r="A20" s="7" t="s">
        <v>379</v>
      </c>
      <c r="B20" s="11" t="n">
        <v>9.9</v>
      </c>
      <c r="C20" s="12" t="n">
        <f aca="false">B20</f>
        <v>9.9</v>
      </c>
    </row>
    <row r="21" customFormat="false" ht="15" hidden="false" customHeight="false" outlineLevel="0" collapsed="false">
      <c r="A21" s="43" t="s">
        <v>380</v>
      </c>
      <c r="B21" s="61" t="n">
        <f aca="false">ROUNDUP((B17-B20)/B19,0)*B19+B20</f>
        <v>209.9</v>
      </c>
      <c r="C21" s="61" t="n">
        <f aca="false">ROUNDUP((C17-C20)/C19,0)*C19+C20</f>
        <v>209.9</v>
      </c>
      <c r="E21" s="16" t="s">
        <v>381</v>
      </c>
    </row>
    <row r="22" customFormat="false" ht="15" hidden="false" customHeight="false" outlineLevel="0" collapsed="false">
      <c r="A22" s="7" t="s">
        <v>382</v>
      </c>
      <c r="B22" s="12" t="n">
        <f aca="false">ROUNDUP((B17-0.9)/1,0)*1+0.9</f>
        <v>208.9</v>
      </c>
      <c r="C22" s="12" t="n">
        <f aca="false">ROUNDUP((C17-0.9)/1,0)*1+0.9</f>
        <v>207.9</v>
      </c>
      <c r="E22" s="16" t="s">
        <v>383</v>
      </c>
    </row>
    <row r="23" customFormat="false" ht="15" hidden="false" customHeight="false" outlineLevel="0" collapsed="false">
      <c r="A23" s="7" t="s">
        <v>384</v>
      </c>
      <c r="B23" s="55" t="n">
        <v>208.79</v>
      </c>
      <c r="C23" s="55" t="n">
        <v>207.28</v>
      </c>
    </row>
    <row r="24" customFormat="false" ht="15" hidden="false" customHeight="false" outlineLevel="0" collapsed="false">
      <c r="A24" s="7" t="s">
        <v>385</v>
      </c>
      <c r="B24" s="55" t="n">
        <v>209.9</v>
      </c>
      <c r="C24" s="9" t="s">
        <v>386</v>
      </c>
    </row>
    <row r="25" customFormat="false" ht="15" hidden="false" customHeight="false" outlineLevel="0" collapsed="false">
      <c r="A25" s="43" t="s">
        <v>327</v>
      </c>
      <c r="B25" s="43" t="str">
        <f aca="false">IF(AND(B18=B23,ROUND(B21,2)=B24,ROUND(B26,2)=B24),"OK — conforme BP","ÉCART")</f>
        <v>OK — conforme BP</v>
      </c>
      <c r="C25" s="43" t="str">
        <f aca="false">IF(C18=C23,"OK — conforme BP","ÉCART")</f>
        <v>OK — conforme BP</v>
      </c>
    </row>
    <row r="26" customFormat="false" ht="15" hidden="false" customHeight="false" outlineLevel="0" collapsed="false">
      <c r="A26" s="43" t="s">
        <v>387</v>
      </c>
      <c r="B26" s="61" t="n">
        <f aca="false">IF(ISNUMBER(B17),IF(ROUND(MAX(B17,(B7+B9+B10+B11+B12+Plancher_CHF)/(1/(1+B14)-B8)),6)&lt;10,IF(MIN(-INT(-((ROUND(MAX(B17,(B7+B9+B10+B11+B12+Plancher_CHF)/(1/(1+B14)-B8)),6))-0.5)/1)*1+0.5,-INT(-((ROUND(MAX(B17,(B7+B9+B10+B11+B12+Plancher_CHF)/(1/(1+B14)-B8)),6))-0.9)/1)*1+0.9)&lt;10,MIN(-INT(-((ROUND(MAX(B17,(B7+B9+B10+B11+B12+Plancher_CHF)/(1/(1+B14)-B8)),6))-0.5)/1)*1+0.5,-INT(-((ROUND(MAX(B17,(B7+B9+B10+B11+B12+Plancher_CHF)/(1/(1+B14)-B8)),6))-0.9)/1)*1+0.9),10.9),IF(ROUND(MAX(B17,(B7+B9+B10+B11+B12+Plancher_CHF)/(1/(1+B14)-B8)),6)&lt;100,IF(-INT(-((ROUND(MAX(B17,(B7+B9+B10+B11+B12+Plancher_CHF)/(1/(1+B14)-B8)),6))-0.9)/1)*1+0.9&lt;100,-INT(-((ROUND(MAX(B17,(B7+B9+B10+B11+B12+Plancher_CHF)/(1/(1+B14)-B8)),6))-0.9)/1)*1+0.9,104.9),MIN(-INT(-((ROUND(MAX(B17,(B7+B9+B10+B11+B12+Plancher_CHF)/(1/(1+B14)-B8)),6))-4.9)/10)*10+4.9,-INT(-((ROUND(MAX(B17,(B7+B9+B10+B11+B12+Plancher_CHF)/(1/(1+B14)-B8)),6))-9.9)/10)*10+9.9))),"n.c.")</f>
        <v>209.9</v>
      </c>
      <c r="C26" s="61" t="n">
        <f aca="false">IF(ISNUMBER(C17),IF(ROUND(MAX(C17,(C7+C9+C10+C11+C12+Plancher_CHF)/(1/(1+C14)-C8)),6)&lt;10,IF(MIN(-INT(-((ROUND(MAX(C17,(C7+C9+C10+C11+C12+Plancher_CHF)/(1/(1+C14)-C8)),6))-0.5)/1)*1+0.5,-INT(-((ROUND(MAX(C17,(C7+C9+C10+C11+C12+Plancher_CHF)/(1/(1+C14)-C8)),6))-0.9)/1)*1+0.9)&lt;10,MIN(-INT(-((ROUND(MAX(C17,(C7+C9+C10+C11+C12+Plancher_CHF)/(1/(1+C14)-C8)),6))-0.5)/1)*1+0.5,-INT(-((ROUND(MAX(C17,(C7+C9+C10+C11+C12+Plancher_CHF)/(1/(1+C14)-C8)),6))-0.9)/1)*1+0.9),10.9),IF(ROUND(MAX(C17,(C7+C9+C10+C11+C12+Plancher_CHF)/(1/(1+C14)-C8)),6)&lt;100,IF(-INT(-((ROUND(MAX(C17,(C7+C9+C10+C11+C12+Plancher_CHF)/(1/(1+C14)-C8)),6))-0.9)/1)*1+0.9&lt;100,-INT(-((ROUND(MAX(C17,(C7+C9+C10+C11+C12+Plancher_CHF)/(1/(1+C14)-C8)),6))-0.9)/1)*1+0.9,104.9),MIN(-INT(-((ROUND(MAX(C17,(C7+C9+C10+C11+C12+Plancher_CHF)/(1/(1+C14)-C8)),6))-4.9)/10)*10+4.9,-INT(-((ROUND(MAX(C17,(C7+C9+C10+C11+C12+Plancher_CHF)/(1/(1+C14)-C8)),6))-9.9)/10)*10+9.9))),"n.c.")</f>
        <v>209.9</v>
      </c>
      <c r="D26" s="7" t="s">
        <v>18</v>
      </c>
      <c r="E26" s="9" t="s">
        <v>388</v>
      </c>
    </row>
    <row r="27" customFormat="false" ht="15" hidden="false" customHeight="false" outlineLevel="0" collapsed="false">
      <c r="A27" s="4" t="s">
        <v>389</v>
      </c>
      <c r="B27" s="5"/>
      <c r="C27" s="5"/>
      <c r="D27" s="5"/>
      <c r="E27" s="5"/>
    </row>
    <row r="28" customFormat="false" ht="15" hidden="false" customHeight="false" outlineLevel="0" collapsed="false">
      <c r="A28" s="6" t="s">
        <v>151</v>
      </c>
      <c r="B28" s="6" t="s">
        <v>390</v>
      </c>
      <c r="C28" s="6" t="s">
        <v>391</v>
      </c>
      <c r="D28" s="6" t="s">
        <v>392</v>
      </c>
      <c r="E28" s="6" t="s">
        <v>393</v>
      </c>
    </row>
    <row r="29" customFormat="false" ht="15" hidden="false" customHeight="false" outlineLevel="0" collapsed="false">
      <c r="A29" s="7" t="s">
        <v>394</v>
      </c>
      <c r="B29" s="11" t="n">
        <v>199.9</v>
      </c>
      <c r="C29" s="12" t="n">
        <f aca="false">B26</f>
        <v>209.9</v>
      </c>
      <c r="D29" s="55" t="n">
        <v>199.9</v>
      </c>
    </row>
    <row r="30" customFormat="false" ht="15" hidden="false" customHeight="false" outlineLevel="0" collapsed="false">
      <c r="A30" s="7" t="s">
        <v>395</v>
      </c>
      <c r="B30" s="12" t="n">
        <f aca="false">B29/(1+$B$14)</f>
        <v>184.921369102683</v>
      </c>
      <c r="C30" s="12" t="n">
        <f aca="false">C29/(1+$B$14)</f>
        <v>194.172062904718</v>
      </c>
      <c r="D30" s="55" t="n">
        <v>184.92</v>
      </c>
      <c r="E30" s="7" t="str">
        <f aca="false">IF(ROUND(B30,2)=D30,"OK","ÉCART")</f>
        <v>OK</v>
      </c>
    </row>
    <row r="31" customFormat="false" ht="15" hidden="false" customHeight="false" outlineLevel="0" collapsed="false">
      <c r="A31" s="7" t="s">
        <v>396</v>
      </c>
      <c r="B31" s="12" t="n">
        <f aca="false">$B$8*B29+$B$9</f>
        <v>5.2975</v>
      </c>
      <c r="C31" s="12" t="n">
        <f aca="false">$B$8*C29+$B$9</f>
        <v>5.5475</v>
      </c>
      <c r="D31" s="55" t="n">
        <v>5.3</v>
      </c>
      <c r="E31" s="7" t="str">
        <f aca="false">IF(ROUND(B31,2)=D31,"OK","ÉCART")</f>
        <v>OK</v>
      </c>
    </row>
    <row r="32" customFormat="false" ht="15" hidden="false" customHeight="false" outlineLevel="0" collapsed="false">
      <c r="A32" s="7" t="s">
        <v>397</v>
      </c>
      <c r="B32" s="12" t="n">
        <f aca="false">B30-$B$7-B31-$B$10-$B$11-$B$12</f>
        <v>30.6238691026827</v>
      </c>
      <c r="C32" s="12" t="n">
        <f aca="false">C30-$B$7-C31-$B$10-$B$11-$B$12</f>
        <v>39.6245629047179</v>
      </c>
      <c r="D32" s="55" t="n">
        <v>30.62</v>
      </c>
      <c r="E32" s="7" t="str">
        <f aca="false">IF(ROUND(B32,2)=D32,"OK","ÉCART")</f>
        <v>OK</v>
      </c>
    </row>
    <row r="33" customFormat="false" ht="15" hidden="false" customHeight="false" outlineLevel="0" collapsed="false">
      <c r="A33" s="7" t="s">
        <v>398</v>
      </c>
      <c r="B33" s="62" t="n">
        <f aca="false">B32/B30</f>
        <v>0.165604814907454</v>
      </c>
      <c r="C33" s="62" t="n">
        <f aca="false">C32/C30</f>
        <v>0.204069330633635</v>
      </c>
      <c r="D33" s="63" t="n">
        <v>0.1656</v>
      </c>
      <c r="E33" s="7" t="str">
        <f aca="false">IF(ROUND(B33,4)=D33,"OK","ÉCART")</f>
        <v>OK</v>
      </c>
    </row>
    <row r="34" customFormat="false" ht="15" hidden="false" customHeight="false" outlineLevel="0" collapsed="false">
      <c r="A34" s="7" t="s">
        <v>399</v>
      </c>
      <c r="B34" s="7" t="str">
        <f aca="false">IF(B33&gt;=$B$13,"oui","NON — sous la cible")</f>
        <v>NON — sous la cible</v>
      </c>
      <c r="C34" s="7" t="str">
        <f aca="false">IF(C33&gt;=$B$13,"oui","NON — sous la cible")</f>
        <v>oui</v>
      </c>
    </row>
    <row r="35" customFormat="false" ht="15" hidden="false" customHeight="false" outlineLevel="0" collapsed="false">
      <c r="A35" s="7" t="s">
        <v>400</v>
      </c>
      <c r="B35" s="7" t="str">
        <f aca="false">IF(AND(B33&gt;=Plancher_pct,B32&gt;=Plancher_CHF),"oui","NON — blocage")</f>
        <v>oui</v>
      </c>
      <c r="C35" s="7" t="str">
        <f aca="false">IF(AND(C33&gt;=Plancher_pct,C32&gt;=Plancher_CHF),"oui","NON — blocage")</f>
        <v>oui</v>
      </c>
    </row>
  </sheetData>
  <conditionalFormatting sqref="B34:C35">
    <cfRule type="expression" priority="2" aboveAverage="0" equalAverage="0" bottom="0" percent="0" rank="0" text="" dxfId="0">
      <formula>LEFT(B34,3)="NON"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7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4" t="s">
        <v>403</v>
      </c>
      <c r="B4" s="5"/>
      <c r="C4" s="5"/>
      <c r="D4" s="5"/>
      <c r="E4" s="5"/>
    </row>
    <row r="5" customFormat="false" ht="15" hidden="false" customHeight="false" outlineLevel="0" collapsed="false">
      <c r="A5" s="6" t="s">
        <v>151</v>
      </c>
      <c r="B5" s="6" t="s">
        <v>65</v>
      </c>
      <c r="C5" s="6" t="s">
        <v>66</v>
      </c>
      <c r="D5" s="6" t="s">
        <v>67</v>
      </c>
      <c r="E5" s="6" t="s">
        <v>6</v>
      </c>
    </row>
    <row r="6" customFormat="false" ht="15" hidden="false" customHeight="false" outlineLevel="0" collapsed="false">
      <c r="A6" s="7" t="s">
        <v>404</v>
      </c>
      <c r="B6" s="49" t="n">
        <f aca="false">Hypothèses!B27</f>
        <v>40</v>
      </c>
      <c r="C6" s="49" t="n">
        <f aca="false">Hypothèses!C27</f>
        <v>100</v>
      </c>
      <c r="D6" s="49" t="n">
        <f aca="false">Hypothèses!D27</f>
        <v>200</v>
      </c>
      <c r="E6" s="9" t="s">
        <v>128</v>
      </c>
    </row>
    <row r="7" customFormat="false" ht="15" hidden="false" customHeight="false" outlineLevel="0" collapsed="false">
      <c r="A7" s="7" t="s">
        <v>405</v>
      </c>
      <c r="B7" s="17" t="n">
        <f aca="false">B6*Panier_HT</f>
        <v>3515.26364477336</v>
      </c>
      <c r="C7" s="17" t="n">
        <f aca="false">C6*Panier_HT</f>
        <v>8788.1591119334</v>
      </c>
      <c r="D7" s="17" t="n">
        <f aca="false">D6*Panier_HT</f>
        <v>17576.3182238668</v>
      </c>
      <c r="E7" s="9" t="s">
        <v>29</v>
      </c>
    </row>
    <row r="8" customFormat="false" ht="15" hidden="false" customHeight="false" outlineLevel="0" collapsed="false">
      <c r="A8" s="7" t="s">
        <v>35</v>
      </c>
      <c r="B8" s="51" t="n">
        <f aca="false">Cout_produit_pct</f>
        <v>0.7</v>
      </c>
      <c r="C8" s="51" t="n">
        <f aca="false">Cout_produit_pct</f>
        <v>0.7</v>
      </c>
      <c r="D8" s="51" t="n">
        <f aca="false">Cout_produit_pct</f>
        <v>0.7</v>
      </c>
      <c r="E8" s="9" t="s">
        <v>10</v>
      </c>
    </row>
    <row r="9" customFormat="false" ht="15" hidden="false" customHeight="false" outlineLevel="0" collapsed="false">
      <c r="A9" s="7" t="s">
        <v>406</v>
      </c>
      <c r="B9" s="17" t="n">
        <f aca="false">B7*B8</f>
        <v>2460.68455134135</v>
      </c>
      <c r="C9" s="17" t="n">
        <f aca="false">C7*C8</f>
        <v>6151.71137835338</v>
      </c>
      <c r="D9" s="17" t="n">
        <f aca="false">D7*D8</f>
        <v>12303.4227567068</v>
      </c>
      <c r="E9" s="9" t="s">
        <v>29</v>
      </c>
    </row>
    <row r="10" customFormat="false" ht="15" hidden="false" customHeight="false" outlineLevel="0" collapsed="false">
      <c r="A10" s="7" t="s">
        <v>407</v>
      </c>
      <c r="B10" s="17" t="n">
        <f aca="false">Stock_initial</f>
        <v>3000</v>
      </c>
      <c r="C10" s="17" t="n">
        <f aca="false">Stock_initial</f>
        <v>3000</v>
      </c>
      <c r="D10" s="17" t="n">
        <f aca="false">Stock_initial</f>
        <v>3000</v>
      </c>
      <c r="E10" s="9" t="s">
        <v>18</v>
      </c>
    </row>
    <row r="11" customFormat="false" ht="15" hidden="false" customHeight="false" outlineLevel="0" collapsed="false">
      <c r="A11" s="7" t="s">
        <v>408</v>
      </c>
      <c r="B11" s="51" t="n">
        <f aca="false">IF(B9&gt;0,B10/B9,0)</f>
        <v>1.21917293233083</v>
      </c>
      <c r="C11" s="51" t="n">
        <f aca="false">IF(C9&gt;0,C10/C9,0)</f>
        <v>0.487669172932331</v>
      </c>
      <c r="D11" s="51" t="n">
        <f aca="false">IF(D9&gt;0,D10/D9,0)</f>
        <v>0.243834586466165</v>
      </c>
      <c r="E11" s="9" t="s">
        <v>10</v>
      </c>
    </row>
    <row r="12" customFormat="false" ht="15" hidden="false" customHeight="false" outlineLevel="0" collapsed="false">
      <c r="A12" s="7" t="s">
        <v>409</v>
      </c>
      <c r="B12" s="48" t="n">
        <f aca="false">B11*Jours_mois</f>
        <v>36.5751879699248</v>
      </c>
      <c r="C12" s="48" t="n">
        <f aca="false">C11*Jours_mois</f>
        <v>14.6300751879699</v>
      </c>
      <c r="D12" s="48" t="n">
        <f aca="false">D11*Jours_mois</f>
        <v>7.31503759398496</v>
      </c>
      <c r="E12" s="9" t="s">
        <v>410</v>
      </c>
    </row>
    <row r="13" customFormat="false" ht="15" hidden="false" customHeight="false" outlineLevel="0" collapsed="false">
      <c r="A13" s="7" t="s">
        <v>411</v>
      </c>
      <c r="B13" s="17" t="n">
        <f aca="false">MAX(0,B9-B10)</f>
        <v>0</v>
      </c>
      <c r="C13" s="17" t="n">
        <f aca="false">MAX(0,C9-C10)</f>
        <v>3151.71137835338</v>
      </c>
      <c r="D13" s="17" t="n">
        <f aca="false">MAX(0,D9-D10)</f>
        <v>9303.42275670675</v>
      </c>
      <c r="E13" s="9" t="s">
        <v>18</v>
      </c>
    </row>
    <row r="14" customFormat="false" ht="15" hidden="false" customHeight="false" outlineLevel="0" collapsed="false">
      <c r="A14" s="7" t="s">
        <v>412</v>
      </c>
      <c r="C14" s="45" t="n">
        <v>6152</v>
      </c>
      <c r="D14" s="7" t="str">
        <f aca="false">IF(ROUND(C9,0)=C14,"OK — conforme BP","ÉCART")</f>
        <v>OK — conforme BP</v>
      </c>
    </row>
    <row r="16" customFormat="false" ht="15" hidden="false" customHeight="false" outlineLevel="0" collapsed="false">
      <c r="A16" s="4" t="s">
        <v>413</v>
      </c>
      <c r="B16" s="5"/>
      <c r="C16" s="5"/>
      <c r="D16" s="5"/>
      <c r="E16" s="5"/>
    </row>
    <row r="17" customFormat="false" ht="15" hidden="false" customHeight="false" outlineLevel="0" collapsed="false">
      <c r="A17" s="6" t="s">
        <v>151</v>
      </c>
      <c r="B17" s="6" t="s">
        <v>65</v>
      </c>
      <c r="C17" s="6" t="s">
        <v>66</v>
      </c>
      <c r="D17" s="6" t="s">
        <v>67</v>
      </c>
      <c r="E17" s="6" t="s">
        <v>22</v>
      </c>
    </row>
    <row r="18" customFormat="false" ht="15" hidden="false" customHeight="false" outlineLevel="0" collapsed="false">
      <c r="A18" s="7" t="s">
        <v>414</v>
      </c>
      <c r="B18" s="12" t="n">
        <f aca="false">B9/Jours_mois</f>
        <v>82.022818378045</v>
      </c>
      <c r="C18" s="12" t="n">
        <f aca="false">C9/Jours_mois</f>
        <v>205.057045945113</v>
      </c>
      <c r="D18" s="12" t="n">
        <f aca="false">D9/Jours_mois</f>
        <v>410.114091890225</v>
      </c>
      <c r="E18" s="9" t="s">
        <v>415</v>
      </c>
    </row>
    <row r="19" customFormat="false" ht="15" hidden="false" customHeight="false" outlineLevel="0" collapsed="false">
      <c r="A19" s="7" t="s">
        <v>416</v>
      </c>
      <c r="B19" s="12" t="n">
        <f aca="false">B6*Panier_TTC/Jours_mois</f>
        <v>126.666666666667</v>
      </c>
      <c r="C19" s="12" t="n">
        <f aca="false">C6*Panier_TTC/Jours_mois</f>
        <v>316.666666666667</v>
      </c>
      <c r="D19" s="12" t="n">
        <f aca="false">D6*Panier_TTC/Jours_mois</f>
        <v>633.333333333333</v>
      </c>
      <c r="E19" s="9" t="s">
        <v>417</v>
      </c>
    </row>
    <row r="20" customFormat="false" ht="15" hidden="false" customHeight="false" outlineLevel="0" collapsed="false">
      <c r="A20" s="7" t="s">
        <v>418</v>
      </c>
      <c r="B20" s="17" t="n">
        <f aca="false">B18*(Delai_prepaiement+Jours_stock)</f>
        <v>3609.00400863398</v>
      </c>
      <c r="C20" s="17" t="n">
        <f aca="false">C18*(Delai_prepaiement+Jours_stock)</f>
        <v>9022.51002158495</v>
      </c>
      <c r="D20" s="17" t="n">
        <f aca="false">D18*(Delai_prepaiement+Jours_stock)</f>
        <v>18045.0200431699</v>
      </c>
      <c r="E20" s="9" t="s">
        <v>419</v>
      </c>
    </row>
    <row r="21" customFormat="false" ht="15" hidden="false" customHeight="false" outlineLevel="0" collapsed="false">
      <c r="A21" s="7" t="s">
        <v>420</v>
      </c>
      <c r="B21" s="17" t="n">
        <f aca="false">B19*Delai_PSP</f>
        <v>886.666666666667</v>
      </c>
      <c r="C21" s="17" t="n">
        <f aca="false">C19*Delai_PSP</f>
        <v>2216.66666666667</v>
      </c>
      <c r="D21" s="17" t="n">
        <f aca="false">D19*Delai_PSP</f>
        <v>4433.33333333333</v>
      </c>
      <c r="E21" s="9" t="s">
        <v>421</v>
      </c>
    </row>
    <row r="22" customFormat="false" ht="15" hidden="false" customHeight="false" outlineLevel="0" collapsed="false">
      <c r="A22" s="7" t="s">
        <v>422</v>
      </c>
      <c r="B22" s="17" t="n">
        <f aca="false">B18*Credit_fournisseur</f>
        <v>0</v>
      </c>
      <c r="C22" s="17" t="n">
        <f aca="false">C18*Credit_fournisseur</f>
        <v>0</v>
      </c>
      <c r="D22" s="17" t="n">
        <f aca="false">D18*Credit_fournisseur</f>
        <v>0</v>
      </c>
      <c r="E22" s="9" t="s">
        <v>423</v>
      </c>
    </row>
    <row r="23" customFormat="false" ht="15" hidden="false" customHeight="false" outlineLevel="0" collapsed="false">
      <c r="A23" s="43" t="s">
        <v>424</v>
      </c>
      <c r="B23" s="44" t="n">
        <f aca="false">B20+B21-B22</f>
        <v>4495.67067530065</v>
      </c>
      <c r="C23" s="44" t="n">
        <f aca="false">C20+C21-C22</f>
        <v>11239.1766882516</v>
      </c>
      <c r="D23" s="44" t="n">
        <f aca="false">D20+D21-D22</f>
        <v>22478.3533765032</v>
      </c>
      <c r="E23" s="9" t="s">
        <v>425</v>
      </c>
    </row>
    <row r="24" customFormat="false" ht="15" hidden="false" customHeight="false" outlineLevel="0" collapsed="false">
      <c r="A24" s="7" t="s">
        <v>426</v>
      </c>
      <c r="B24" s="13" t="n">
        <f aca="false">Stock_initial+'Budget initial'!B11</f>
        <v>4600</v>
      </c>
      <c r="C24" s="13" t="n">
        <f aca="false">Stock_initial+'Budget initial'!B11</f>
        <v>4600</v>
      </c>
      <c r="D24" s="13" t="n">
        <f aca="false">Stock_initial+'Budget initial'!B11</f>
        <v>4600</v>
      </c>
      <c r="E24" s="9" t="s">
        <v>427</v>
      </c>
    </row>
    <row r="25" customFormat="false" ht="15" hidden="false" customHeight="false" outlineLevel="0" collapsed="false">
      <c r="A25" s="43" t="s">
        <v>428</v>
      </c>
      <c r="B25" s="44" t="n">
        <f aca="false">MAX(0,B23-B24)</f>
        <v>0</v>
      </c>
      <c r="C25" s="44" t="n">
        <f aca="false">MAX(0,C23-C24)</f>
        <v>6639.17668825162</v>
      </c>
      <c r="D25" s="44" t="n">
        <f aca="false">MAX(0,D23-D24)</f>
        <v>17878.3533765032</v>
      </c>
      <c r="E25" s="9" t="s">
        <v>429</v>
      </c>
    </row>
    <row r="27" customFormat="false" ht="27.75" hidden="false" customHeight="true" outlineLevel="0" collapsed="false">
      <c r="A27" s="3" t="s">
        <v>430</v>
      </c>
      <c r="B27" s="3"/>
      <c r="C27" s="3"/>
      <c r="D27" s="3"/>
      <c r="E27" s="3"/>
    </row>
  </sheetData>
  <mergeCells count="1">
    <mergeCell ref="A27:E27"/>
  </mergeCells>
  <conditionalFormatting sqref="B25:D2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2026-10-05T03:58:45Z</dcterms:created>
  <dc:creator>openpyxl</dc:creator>
  <dc:description/>
  <dc:language>en-US</dc:language>
  <cp:lastModifiedBy/>
  <dcterms:modified xsi:type="dcterms:W3CDTF">2026-10-05T03:58:45Z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