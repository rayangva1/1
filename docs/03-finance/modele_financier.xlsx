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ypothèses" sheetId="1" state="visible" r:id="rId3"/>
    <sheet name="Budget initial" sheetId="2" state="visible" r:id="rId4"/>
    <sheet name="Charges mensuelles" sheetId="3" state="visible" r:id="rId5"/>
    <sheet name="Scénarios" sheetId="4" state="visible" r:id="rId6"/>
    <sheet name="Seuil &amp; sensibilité" sheetId="5" state="visible" r:id="rId7"/>
    <sheet name="Prix plancher" sheetId="6" state="visible" r:id="rId8"/>
    <sheet name="Stock &amp; BFR" sheetId="7" state="visible" r:id="rId9"/>
  </sheets>
  <definedNames>
    <definedName function="false" hidden="false" name="CAC_eleve" vbProcedure="false">Hypothèses!$B$33</definedName>
    <definedName function="false" hidden="false" name="Charges_fixes" vbProcedure="false">Hypothèses!$B$12</definedName>
    <definedName function="false" hidden="false" name="Cout_produit_pct" vbProcedure="false">Hypothèses!$B$14</definedName>
    <definedName function="false" hidden="false" name="Credit_fournisseur" vbProcedure="false">Hypothèses!$B$39</definedName>
    <definedName function="false" hidden="false" name="Delai_prepaiement" vbProcedure="false">Hypothèses!$B$37</definedName>
    <definedName function="false" hidden="false" name="Delai_PSP" vbProcedure="false">Hypothèses!$B$40</definedName>
    <definedName function="false" hidden="false" name="Heures_max" vbProcedure="false">Hypothèses!$B$21</definedName>
    <definedName function="false" hidden="false" name="Heures_min" vbProcedure="false">Hypothèses!$B$20</definedName>
    <definedName function="false" hidden="false" name="Jours_mois" vbProcedure="false">Hypothèses!$B$16</definedName>
    <definedName function="false" hidden="false" name="Jours_stock" vbProcedure="false">Hypothèses!$B$38</definedName>
    <definedName function="false" hidden="false" name="Minutes_prep" vbProcedure="false">Hypothèses!$B$22</definedName>
    <definedName function="false" hidden="false" name="Panier_HT" vbProcedure="false">Hypothèses!$B$10</definedName>
    <definedName function="false" hidden="false" name="Panier_TTC" vbProcedure="false">Hypothèses!$B$9</definedName>
    <definedName function="false" hidden="false" name="Plancher_CHF" vbProcedure="false">Hypothèses!$B$18</definedName>
    <definedName function="false" hidden="false" name="Plancher_pct" vbProcedure="false">Hypothèses!$B$19</definedName>
    <definedName function="false" hidden="false" name="Remuneration" vbProcedure="false">Hypothèses!$B$13</definedName>
    <definedName function="false" hidden="false" name="Semaines_mois" vbProcedure="false">Hypothèses!$B$17</definedName>
    <definedName function="false" hidden="false" name="Seuil_TVA" vbProcedure="false">Hypothèses!$B$8</definedName>
    <definedName function="false" hidden="false" name="Stock_initial" vbProcedure="false">Hypothèses!$B$15</definedName>
    <definedName function="false" hidden="false" name="Taux_contribution" vbProcedure="false">Hypothèses!$B$11</definedName>
    <definedName function="false" hidden="false" name="Taux_sensibilite" vbProcedure="false">Hypothèses!$B$32</definedName>
    <definedName function="false" hidden="false" name="TVA" vbProcedure="false">Hypothèses!$B$7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BP : 208,79 → 209,90 implique un pas de 10 CHF et une terminaison 9,90.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-244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<sst xmlns="http://schemas.openxmlformats.org/spreadsheetml/2006/main" count="407" uniqueCount="300">
  <si>
    <t xml:space="preserve">Modèle financier — {{NOM_BOUTIQUE}} · boutique Pokémon JCC FR, ventes Suisse</t>
  </si>
  <si>
    <t xml:space="preserve">Source : business plan du 4 octobre 2026 (BP). Toutes les valeurs sont des hypothèses de gestion, pas des devis. Montants en CHF.</t>
  </si>
  <si>
    <t xml:space="preserve">Légende : cellules jaunes à texte bleu = entrées à modifier ; texte noir = formules (ne pas écraser) ; texte vert = lien vers une autre feuille ; gris italique = valeur publiée dans le BP (référence de contrôle).</t>
  </si>
  <si>
    <t xml:space="preserve">Paramètres généraux</t>
  </si>
  <si>
    <t xml:space="preserve">Paramètre</t>
  </si>
  <si>
    <t xml:space="preserve">Valeur</t>
  </si>
  <si>
    <t xml:space="preserve">Unité</t>
  </si>
  <si>
    <t xml:space="preserve">Source / statut</t>
  </si>
  <si>
    <t xml:space="preserve">Nom défini</t>
  </si>
  <si>
    <t xml:space="preserve">TVA sur ventes (taux normal)</t>
  </si>
  <si>
    <t xml:space="preserve">%</t>
  </si>
  <si>
    <t xml:space="preserve">BP §4 [S6] — statut TVA à confirmer avec la fiduciaire</t>
  </si>
  <si>
    <t xml:space="preserve">TVA</t>
  </si>
  <si>
    <t xml:space="preserve">Seuil d'assujettissement TVA</t>
  </si>
  <si>
    <t xml:space="preserve">CHF/an</t>
  </si>
  <si>
    <t xml:space="preserve">BP §4 [S6] — CA déterminant de toute l'entité</t>
  </si>
  <si>
    <t xml:space="preserve">Seuil_TVA</t>
  </si>
  <si>
    <t xml:space="preserve">Panier produits moyen TTC</t>
  </si>
  <si>
    <t xml:space="preserve">CHF</t>
  </si>
  <si>
    <t xml:space="preserve">BP §10 — hypothèse</t>
  </si>
  <si>
    <t xml:space="preserve">Panier_TTC</t>
  </si>
  <si>
    <t xml:space="preserve">Panier produits moyen HT</t>
  </si>
  <si>
    <t xml:space="preserve">Calcul</t>
  </si>
  <si>
    <t xml:space="preserve">Panier_HT</t>
  </si>
  <si>
    <t xml:space="preserve">Contribution produit avant acquisition</t>
  </si>
  <si>
    <t xml:space="preserve">% CA HT</t>
  </si>
  <si>
    <t xml:space="preserve">BP §10 — après achat, paiement, emballage, provision SAV</t>
  </si>
  <si>
    <t xml:space="preserve">Taux_contribution</t>
  </si>
  <si>
    <t xml:space="preserve">Charges fixes mensuelles</t>
  </si>
  <si>
    <t xml:space="preserve">CHF/mois</t>
  </si>
  <si>
    <t xml:space="preserve">Lien feuille Charges mensuelles (BP §3)</t>
  </si>
  <si>
    <t xml:space="preserve">Charges_fixes</t>
  </si>
  <si>
    <t xml:space="preserve">Rémunération budgétée</t>
  </si>
  <si>
    <t xml:space="preserve">BP §10 — hors cotisations sociales</t>
  </si>
  <si>
    <t xml:space="preserve">Remuneration</t>
  </si>
  <si>
    <t xml:space="preserve">Coût produit en % du CA net</t>
  </si>
  <si>
    <t xml:space="preserve">BP §10 — « par hypothèse »</t>
  </si>
  <si>
    <t xml:space="preserve">Cout_produit_pct</t>
  </si>
  <si>
    <t xml:space="preserve">Stock initial acheté rendu Suisse</t>
  </si>
  <si>
    <t xml:space="preserve">Lien feuille Budget initial (BP §3)</t>
  </si>
  <si>
    <t xml:space="preserve">Stock_initial</t>
  </si>
  <si>
    <t xml:space="preserve">Jours par mois (convention)</t>
  </si>
  <si>
    <t xml:space="preserve">jours</t>
  </si>
  <si>
    <t xml:space="preserve">Convention de calcul</t>
  </si>
  <si>
    <t xml:space="preserve">Jours_mois</t>
  </si>
  <si>
    <t xml:space="preserve">Semaines par mois</t>
  </si>
  <si>
    <t xml:space="preserve">sem.</t>
  </si>
  <si>
    <t xml:space="preserve">Convention 52/12</t>
  </si>
  <si>
    <t xml:space="preserve">Semaines_mois</t>
  </si>
  <si>
    <t xml:space="preserve">Plancher dur : contribution par commande</t>
  </si>
  <si>
    <t xml:space="preserve">BP §5</t>
  </si>
  <si>
    <t xml:space="preserve">Plancher_CHF</t>
  </si>
  <si>
    <t xml:space="preserve">Plancher dur : contribution en % du CA net</t>
  </si>
  <si>
    <t xml:space="preserve">Plancher_pct</t>
  </si>
  <si>
    <t xml:space="preserve">Supervision au lancement — minimum</t>
  </si>
  <si>
    <t xml:space="preserve">h/semaine</t>
  </si>
  <si>
    <t xml:space="preserve">BP §3</t>
  </si>
  <si>
    <t xml:space="preserve">Heures_min</t>
  </si>
  <si>
    <t xml:space="preserve">Supervision au lancement — maximum</t>
  </si>
  <si>
    <t xml:space="preserve">Heures_max</t>
  </si>
  <si>
    <t xml:space="preserve">Préparation d'une commande (colis)</t>
  </si>
  <si>
    <t xml:space="preserve">minutes</t>
  </si>
  <si>
    <t xml:space="preserve">HYPOTHÈSE FICTIVE — à mesurer lors des commandes tests</t>
  </si>
  <si>
    <t xml:space="preserve">Minutes_prep</t>
  </si>
  <si>
    <t xml:space="preserve">Scénarios mensuels (BP §10)</t>
  </si>
  <si>
    <t xml:space="preserve">Prudent</t>
  </si>
  <si>
    <t xml:space="preserve">Central</t>
  </si>
  <si>
    <t xml:space="preserve">Développement</t>
  </si>
  <si>
    <t xml:space="preserve">Source</t>
  </si>
  <si>
    <t xml:space="preserve">Commandes payées par mois</t>
  </si>
  <si>
    <t xml:space="preserve">BP §10 — simulations, pas une prévision de demande</t>
  </si>
  <si>
    <t xml:space="preserve">CAC moyen mélangé (CHF/commande)</t>
  </si>
  <si>
    <t xml:space="preserve">BP §10 — CAC sur commandes payées après annulations</t>
  </si>
  <si>
    <t xml:space="preserve">Sensibilité (BP §10)</t>
  </si>
  <si>
    <t xml:space="preserve">Contribution dégradée</t>
  </si>
  <si>
    <t xml:space="preserve">BP §10</t>
  </si>
  <si>
    <t xml:space="preserve">Taux_sensibilite</t>
  </si>
  <si>
    <t xml:space="preserve">CAC élevé</t>
  </si>
  <si>
    <t xml:space="preserve">CAC_eleve</t>
  </si>
  <si>
    <t xml:space="preserve">Délais du cycle cash — HYPOTHÈSES FICTIVES à remplacer (devis fournisseur, contrat PSP)</t>
  </si>
  <si>
    <t xml:space="preserve">Paiement fournisseur → réception (prépaiement)</t>
  </si>
  <si>
    <t xml:space="preserve">FICTIF — BP §4 : ne pas supposer de facture HT/à terme avant confirmation</t>
  </si>
  <si>
    <t xml:space="preserve">Delai_prepaiement</t>
  </si>
  <si>
    <t xml:space="preserve">Jours de ventes détenus en stock</t>
  </si>
  <si>
    <t xml:space="preserve">FICTIF — politique de stock à décider</t>
  </si>
  <si>
    <t xml:space="preserve">Jours_stock</t>
  </si>
  <si>
    <t xml:space="preserve">Crédit fournisseur après réception</t>
  </si>
  <si>
    <t xml:space="preserve">FICTIF — 0 = prépaiement (prudent)</t>
  </si>
  <si>
    <t xml:space="preserve">Credit_fournisseur</t>
  </si>
  <si>
    <t xml:space="preserve">Délai de versement PSP</t>
  </si>
  <si>
    <t xml:space="preserve">FICTIF — BP §7 : tester les délais de versement</t>
  </si>
  <si>
    <t xml:space="preserve">Delai_PSP</t>
  </si>
  <si>
    <t xml:space="preserve">Budget initial — décaissement pilote (BP §3)</t>
  </si>
  <si>
    <t xml:space="preserve">Aucune offre prestataire confirmée. Remplacer chaque ligne par un devis avant engagement.</t>
  </si>
  <si>
    <t xml:space="preserve">Poste</t>
  </si>
  <si>
    <t xml:space="preserve">Budget pilote CHF</t>
  </si>
  <si>
    <t xml:space="preserve">Nature (BP)</t>
  </si>
  <si>
    <t xml:space="preserve">Traitement en trésorerie</t>
  </si>
  <si>
    <t xml:space="preserve">Stock acheté rendu Suisse</t>
  </si>
  <si>
    <t xml:space="preserve">Hypothèse de coût cash</t>
  </si>
  <si>
    <t xml:space="preserve">Achats de stock engagés</t>
  </si>
  <si>
    <t xml:space="preserve">Site et automatisation pilote</t>
  </si>
  <si>
    <t xml:space="preserve">Budget plafonné ; réalisation interne/assistée</t>
  </si>
  <si>
    <t xml:space="preserve">Dépenses de lancement</t>
  </si>
  <si>
    <t xml:space="preserve">DA et contenus de lancement</t>
  </si>
  <si>
    <t xml:space="preserve">Dépenses cash hors temps interne</t>
  </si>
  <si>
    <t xml:space="preserve">Administration et revue des documents</t>
  </si>
  <si>
    <t xml:space="preserve">Provision à confirmer par devis</t>
  </si>
  <si>
    <t xml:space="preserve">Emballages et matériel</t>
  </si>
  <si>
    <t xml:space="preserve">Provision</t>
  </si>
  <si>
    <t xml:space="preserve">Test acquisition</t>
  </si>
  <si>
    <t xml:space="preserve">Plafond avant validation CAC</t>
  </si>
  <si>
    <t xml:space="preserve">Publicité (jours 46 à 60)</t>
  </si>
  <si>
    <t xml:space="preserve">Réserve de trésorerie</t>
  </si>
  <si>
    <t xml:space="preserve">Réassort, versements différés, remboursement</t>
  </si>
  <si>
    <t xml:space="preserve">Non décaissée</t>
  </si>
  <si>
    <t xml:space="preserve">Total</t>
  </si>
  <si>
    <t xml:space="preserve">Total publié dans le BP</t>
  </si>
  <si>
    <t xml:space="preserve">Contrôle</t>
  </si>
  <si>
    <t xml:space="preserve">Décaissé avant la première vente (hors réserve)</t>
  </si>
  <si>
    <t xml:space="preserve">Trésorerie conservée à l'ouverture (réserve)</t>
  </si>
  <si>
    <t xml:space="preserve">Attention : les charges fixes des mois sans ventes ne figurent pas dans ce budget (voir NOTE_VERIFICATION_BP.md).</t>
  </si>
  <si>
    <t xml:space="preserve">Répartition indicative du budget stock (BP §1) — suit les marges et allocations, pas un objectif de volume</t>
  </si>
  <si>
    <t xml:space="preserve">Catégorie</t>
  </si>
  <si>
    <t xml:space="preserve">Part du stock</t>
  </si>
  <si>
    <t xml:space="preserve">Remarque</t>
  </si>
  <si>
    <t xml:space="preserve">Displays</t>
  </si>
  <si>
    <t xml:space="preserve">ETB</t>
  </si>
  <si>
    <t xml:space="preserve">Bundles et tripacks</t>
  </si>
  <si>
    <t xml:space="preserve">Coffrets</t>
  </si>
  <si>
    <t xml:space="preserve">Accessoires</t>
  </si>
  <si>
    <t xml:space="preserve">Plafond par extension au lancement</t>
  </si>
  <si>
    <t xml:space="preserve">BP §1 — exceptions à documenter</t>
  </si>
  <si>
    <t xml:space="preserve">Charges mensuelles de simulation (BP §3)</t>
  </si>
  <si>
    <t xml:space="preserve">Enveloppes, pas les tarifs actuels des logiciels ou prestataires. Hors publicité et rémunération.</t>
  </si>
  <si>
    <t xml:space="preserve">CHF par mois</t>
  </si>
  <si>
    <t xml:space="preserve">Source / à remplacer par</t>
  </si>
  <si>
    <t xml:space="preserve">Site, apps, hébergement et automatisation</t>
  </si>
  <si>
    <t xml:space="preserve">Abonnement boutique + apps + hébergement (devis)</t>
  </si>
  <si>
    <t xml:space="preserve">Comptabilité et administration</t>
  </si>
  <si>
    <t xml:space="preserve">Offre fiduciaire</t>
  </si>
  <si>
    <t xml:space="preserve">Divers, assurance et petit stockage</t>
  </si>
  <si>
    <t xml:space="preserve">Offres assurance RC / stockage</t>
  </si>
  <si>
    <t xml:space="preserve">Total fixe hors publicité et rémunération</t>
  </si>
  <si>
    <t xml:space="preserve">Temps de travail non rémunéré dans le résultat (BP §3 : le valoriser à part)</t>
  </si>
  <si>
    <t xml:space="preserve">Indicateur</t>
  </si>
  <si>
    <t xml:space="preserve">Heures par mois</t>
  </si>
  <si>
    <t xml:space="preserve">Supervision — minimum</t>
  </si>
  <si>
    <t xml:space="preserve">6 h/semaine × 52/12</t>
  </si>
  <si>
    <t xml:space="preserve">Supervision — maximum</t>
  </si>
  <si>
    <t xml:space="preserve">10 h/semaine × 52/12</t>
  </si>
  <si>
    <t xml:space="preserve">Préparation des colis</t>
  </si>
  <si>
    <t xml:space="preserve">Voir feuille Scénarios (minutes par commande × commandes)</t>
  </si>
  <si>
    <t xml:space="preserve">Entité assujettie, méthode effective. Aucun salaire, impôt, amortissement ni coût initial inclus. Valeurs exactes ; affichage arrondi.</t>
  </si>
  <si>
    <t xml:space="preserve">Indicateur (par mois)</t>
  </si>
  <si>
    <t xml:space="preserve">Unité / formule</t>
  </si>
  <si>
    <t xml:space="preserve">Commandes payées</t>
  </si>
  <si>
    <t xml:space="preserve">Hypothèses</t>
  </si>
  <si>
    <t xml:space="preserve">Panier produits TTC</t>
  </si>
  <si>
    <t xml:space="preserve">Panier produits HT</t>
  </si>
  <si>
    <t xml:space="preserve">CHF = TTC / (1 + TVA)</t>
  </si>
  <si>
    <t xml:space="preserve">CA produits TTC</t>
  </si>
  <si>
    <t xml:space="preserve">CA produits HT</t>
  </si>
  <si>
    <t xml:space="preserve">TVA collectée (à reverser)</t>
  </si>
  <si>
    <t xml:space="preserve">Contribution avant acquisition</t>
  </si>
  <si>
    <t xml:space="preserve">CHF = CA HT × 22 %</t>
  </si>
  <si>
    <t xml:space="preserve">CAC moyen</t>
  </si>
  <si>
    <t xml:space="preserve">CHF / commande</t>
  </si>
  <si>
    <t xml:space="preserve">Acquisition totale</t>
  </si>
  <si>
    <t xml:space="preserve">Charges fixes</t>
  </si>
  <si>
    <t xml:space="preserve">Résultat avant rémunération</t>
  </si>
  <si>
    <t xml:space="preserve">CHF (hors cotisations)</t>
  </si>
  <si>
    <t xml:space="preserve">Résultat après rémunération</t>
  </si>
  <si>
    <t xml:space="preserve">Contribution / commande avant acquisition</t>
  </si>
  <si>
    <t xml:space="preserve">Contribution / commande après CAC</t>
  </si>
  <si>
    <t xml:space="preserve">Contribution après CAC en % du CA HT</t>
  </si>
  <si>
    <t xml:space="preserve">Plancher dur BP §5 respecté ? (≥ 8 CHF et ≥ 12 %)</t>
  </si>
  <si>
    <t xml:space="preserve">CA TTC annualisé</t>
  </si>
  <si>
    <t xml:space="preserve">Seuil TVA 100 000 CHF atteint ?</t>
  </si>
  <si>
    <t xml:space="preserve">BP §4, §10</t>
  </si>
  <si>
    <t xml:space="preserve">Heures de travail / mois (supervision moyenne + colis)</t>
  </si>
  <si>
    <t xml:space="preserve">h</t>
  </si>
  <si>
    <t xml:space="preserve">Rémunération implicite du travail</t>
  </si>
  <si>
    <t xml:space="preserve">CHF/h, avant impôts et charges sociales</t>
  </si>
  <si>
    <t xml:space="preserve">Contrôle vs valeurs publiées au BP §10 (arrondies au franc)</t>
  </si>
  <si>
    <t xml:space="preserve">Valeur BP</t>
  </si>
  <si>
    <t xml:space="preserve">Écart = arrondi(recalcul) − BP</t>
  </si>
  <si>
    <t xml:space="preserve">Écart (CHF)</t>
  </si>
  <si>
    <t xml:space="preserve">Commentaire</t>
  </si>
  <si>
    <t xml:space="preserve">Écart CA produits TTC</t>
  </si>
  <si>
    <t xml:space="preserve">Écart CA produits HT</t>
  </si>
  <si>
    <t xml:space="preserve">Développement : 19 000 / 1,081 = 17 576,32 ⇒ 17 576 (BP 17 577, sans effet sur la suite)</t>
  </si>
  <si>
    <t xml:space="preserve">Écart Contribution avant acquisition</t>
  </si>
  <si>
    <t xml:space="preserve">Écart Acquisition totale</t>
  </si>
  <si>
    <t xml:space="preserve">Écart Résultat avant rémunération</t>
  </si>
  <si>
    <t xml:space="preserve">Statut</t>
  </si>
  <si>
    <t xml:space="preserve">Seuil de rentabilité et sensibilité (BP §10)</t>
  </si>
  <si>
    <t xml:space="preserve">Seuil = charges à couvrir / contribution par commande après CAC, arrondi au-dessus. Le BP arrondit la contribution au centime avant de diviser.</t>
  </si>
  <si>
    <t xml:space="preserve">Seuil de rentabilité — scénario central</t>
  </si>
  <si>
    <t xml:space="preserve">Calcul exact</t>
  </si>
  <si>
    <t xml:space="preserve">Méthode BP (centime)</t>
  </si>
  <si>
    <t xml:space="preserve">CAC moyen (central)</t>
  </si>
  <si>
    <t xml:space="preserve">Charges fixes à couvrir</t>
  </si>
  <si>
    <t xml:space="preserve">Seuil en commandes (décimal)</t>
  </si>
  <si>
    <t xml:space="preserve">Seuil cash d'exploitation (commandes/mois)</t>
  </si>
  <si>
    <t xml:space="preserve">Exact 29,99 ⇒ 30 commandes, mais 30 × 13,334 ne dépasse 400 que de 0,02 CHF : garder 31.</t>
  </si>
  <si>
    <t xml:space="preserve">Surplus au seuil (CHF)</t>
  </si>
  <si>
    <t xml:space="preserve">Seuil avec rémunération budgétée (commandes/mois)</t>
  </si>
  <si>
    <t xml:space="preserve">Hors cotisations sociales et coûts de la rémunération (à ajouter).</t>
  </si>
  <si>
    <t xml:space="preserve">Sensibilité publiée au BP §10</t>
  </si>
  <si>
    <t xml:space="preserve">Cas</t>
  </si>
  <si>
    <t xml:space="preserve">Contribution / commande</t>
  </si>
  <si>
    <t xml:space="preserve">Après CAC</t>
  </si>
  <si>
    <t xml:space="preserve">Seuil (commandes)</t>
  </si>
  <si>
    <t xml:space="preserve">Valeur BP (seuil)</t>
  </si>
  <si>
    <t xml:space="preserve">Plancher dur 8 CHF/commande (BP §5) ?</t>
  </si>
  <si>
    <t xml:space="preserve">Contribution 15 %, CAC central</t>
  </si>
  <si>
    <t xml:space="preserve">Contribution 22 %, CAC élevé</t>
  </si>
  <si>
    <t xml:space="preserve">Valeurs BP par commande</t>
  </si>
  <si>
    <t xml:space="preserve">13,18 / 22 % : 19,33</t>
  </si>
  <si>
    <t xml:space="preserve">7,18 / 4,33</t>
  </si>
  <si>
    <t xml:space="preserve">Seuil (commandes/mois) — charges fixes seules ; orange = contribution après CAC sous le plancher dur de 8 CHF</t>
  </si>
  <si>
    <t xml:space="preserve">Contribution ↓ / CAC (CHF) →</t>
  </si>
  <si>
    <t xml:space="preserve">Seuil (commandes/mois) — charges fixes + rémunération budgétée</t>
  </si>
  <si>
    <t xml:space="preserve">Prix plancher et contrôle de contribution (BP §4)</t>
  </si>
  <si>
    <t xml:space="preserve">P = (C + b + L + R + A) / ((1 − m) / (1 + t) − r). Exemple FICTIF du BP : aucun coût n'est un devis.</t>
  </si>
  <si>
    <t xml:space="preserve">Cas 1 — assujetti (méthode effective)</t>
  </si>
  <si>
    <t xml:space="preserve">Cas 2 — non assujetti (t = 0)</t>
  </si>
  <si>
    <t xml:space="preserve">Achat net hors TVA récupérable</t>
  </si>
  <si>
    <t xml:space="preserve">BP §4 — exemple fictif</t>
  </si>
  <si>
    <t xml:space="preserve">TVA non récupérable incluse dans C</t>
  </si>
  <si>
    <t xml:space="preserve">Cas 2 : 8,1 % non récupérables</t>
  </si>
  <si>
    <t xml:space="preserve">Coût rendu C</t>
  </si>
  <si>
    <t xml:space="preserve">BP §4 (151,34 dans le cas 2)</t>
  </si>
  <si>
    <t xml:space="preserve">Frais de paiement proportionnels r</t>
  </si>
  <si>
    <t xml:space="preserve">% du TTC</t>
  </si>
  <si>
    <t xml:space="preserve">BP §4</t>
  </si>
  <si>
    <t xml:space="preserve">Frais fixes de paiement b</t>
  </si>
  <si>
    <t xml:space="preserve">Préparation/expédition supportée L</t>
  </si>
  <si>
    <t xml:space="preserve">Provision SAV R</t>
  </si>
  <si>
    <t xml:space="preserve">Acquisition attribuée A</t>
  </si>
  <si>
    <t xml:space="preserve">Contribution cible m</t>
  </si>
  <si>
    <t xml:space="preserve">% CA net</t>
  </si>
  <si>
    <t xml:space="preserve">BP §4-§5</t>
  </si>
  <si>
    <t xml:space="preserve">TVA sur ventes t</t>
  </si>
  <si>
    <t xml:space="preserve">Numérateur C + b + L + R + A</t>
  </si>
  <si>
    <t xml:space="preserve">Dénominateur (1 − m)/(1 + t) − r</t>
  </si>
  <si>
    <t xml:space="preserve">Prix plancher P (exact)</t>
  </si>
  <si>
    <t xml:space="preserve">Prix plancher arrondi au centime</t>
  </si>
  <si>
    <t xml:space="preserve">Pas d'arrondi du prix public</t>
  </si>
  <si>
    <t xml:space="preserve">Terminaison du prix public</t>
  </si>
  <si>
    <t xml:space="preserve">Prix public arrondi vers le haut</t>
  </si>
  <si>
    <t xml:space="preserve">Lecture alternative « prochain X,90 » (pas de 1 CHF)</t>
  </si>
  <si>
    <t xml:space="preserve">Ambiguïté BP/SPEC : règle d'arrondi à trancher</t>
  </si>
  <si>
    <t xml:space="preserve">Valeur BP — prix plancher</t>
  </si>
  <si>
    <t xml:space="preserve">Valeur BP — prix public arrondi</t>
  </si>
  <si>
    <t xml:space="preserve">n.c.</t>
  </si>
  <si>
    <t xml:space="preserve">Contribution d'une vente unitaire à un prix donné (cas 1)</t>
  </si>
  <si>
    <t xml:space="preserve">Prix testé</t>
  </si>
  <si>
    <t xml:space="preserve">Prix public arrondi</t>
  </si>
  <si>
    <t xml:space="preserve">BP à 199,90</t>
  </si>
  <si>
    <t xml:space="preserve">Statut (prix testé)</t>
  </si>
  <si>
    <t xml:space="preserve">Prix public TTC</t>
  </si>
  <si>
    <t xml:space="preserve">Vente nette = P / (1 + t)</t>
  </si>
  <si>
    <t xml:space="preserve">Frais de paiement = r × P + b</t>
  </si>
  <si>
    <t xml:space="preserve">Contribution = net − C − paiement − L − R − A</t>
  </si>
  <si>
    <t xml:space="preserve">Contribution en % du CA net</t>
  </si>
  <si>
    <t xml:space="preserve">Cible m atteinte ?</t>
  </si>
  <si>
    <t xml:space="preserve">Plancher dur BP §5 respecté (≥ 12 % et ≥ 8 CHF) ?</t>
  </si>
  <si>
    <t xml:space="preserve">Stock nécessaire et besoin en fonds de roulement (BP §10)</t>
  </si>
  <si>
    <t xml:space="preserve">Les délais du cycle cash sont des HYPOTHÈSES FICTIVES (feuille Hypothèses) à remplacer par les conditions réelles fournisseur et PSP.</t>
  </si>
  <si>
    <t xml:space="preserve">Stock consommé par mois</t>
  </si>
  <si>
    <t xml:space="preserve">Commandes par mois</t>
  </si>
  <si>
    <t xml:space="preserve">commandes</t>
  </si>
  <si>
    <t xml:space="preserve">CA net HT</t>
  </si>
  <si>
    <t xml:space="preserve">Achats consommés HT</t>
  </si>
  <si>
    <t xml:space="preserve">Stock initial (budget BP §3)</t>
  </si>
  <si>
    <t xml:space="preserve">Part d'un mois couverte par le stock initial</t>
  </si>
  <si>
    <t xml:space="preserve">Couverture du stock initial</t>
  </si>
  <si>
    <t xml:space="preserve">jours de ventes</t>
  </si>
  <si>
    <t xml:space="preserve">Manque pour financer un mois d'achats</t>
  </si>
  <si>
    <t xml:space="preserve">Valeurs BP (central) : CA net 8 788 ; achats 6 152</t>
  </si>
  <si>
    <t xml:space="preserve">Besoin en fonds de roulement (BFR) d'exploitation</t>
  </si>
  <si>
    <t xml:space="preserve">Achats consommés par jour</t>
  </si>
  <si>
    <t xml:space="preserve">achats / jours par mois</t>
  </si>
  <si>
    <t xml:space="preserve">CA TTC encaissé par jour</t>
  </si>
  <si>
    <t xml:space="preserve">commandes × panier TTC / jours</t>
  </si>
  <si>
    <t xml:space="preserve">Stock immobilisé (prépaiement + jours de stock)</t>
  </si>
  <si>
    <t xml:space="preserve">achats/jour × (délai + jours de stock)</t>
  </si>
  <si>
    <t xml:space="preserve">Encaissements PSP en attente de versement</t>
  </si>
  <si>
    <t xml:space="preserve">CA/jour × délai PSP</t>
  </si>
  <si>
    <t xml:space="preserve">Crédit fournisseur (ressource)</t>
  </si>
  <si>
    <t xml:space="preserve">achats/jour × jours de crédit</t>
  </si>
  <si>
    <t xml:space="preserve">BFR total</t>
  </si>
  <si>
    <t xml:space="preserve">stock + PSP − crédit</t>
  </si>
  <si>
    <t xml:space="preserve">Trésorerie mobilisable au lancement (stock + réserve)</t>
  </si>
  <si>
    <t xml:space="preserve">budget BP §3</t>
  </si>
  <si>
    <t xml:space="preserve">Écart à financer (BFR − mobilisable)</t>
  </si>
  <si>
    <t xml:space="preserve">apport, réassort plus fréquent</t>
  </si>
  <si>
    <t xml:space="preserve">Non comptés (prudence) : TVA collectée conservée jusqu'au décompte, TVA d'achat/import préfinancée. À affiner avec la fiduciaire.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</si>
</sst>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#,##0;\(#,##0\);\-"/>
    <numFmt numFmtId="167" formatCode="#,##0.00;\(#,##0.00\);\-"/>
    <numFmt numFmtId="168" formatCode="0"/>
    <numFmt numFmtId="169" formatCode="0.00"/>
    <numFmt numFmtId="170" formatCode="0.0"/>
    <numFmt numFmtId="171" formatCode="@"/>
    <numFmt numFmtId="172" formatCode="0;\-0;\0"/>
    <numFmt numFmtId="173" formatCode="0.0000"/>
    <numFmt numFmtId="174" formatCode="0.000000"/>
    <numFmt numFmtId="175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</row>
    <row r="5" customFormat="false" ht="15" hidden="false" customHeight="false" outlineLevel="0" collapsed="false">
      <c r="A5" s="4" t="s">
        <v>3</v>
      </c>
      <c r="B5" s="5"/>
      <c r="C5" s="5"/>
      <c r="D5" s="5"/>
      <c r="E5" s="5"/>
    </row>
    <row r="6" customFormat="false" ht="15" hidden="false" customHeight="fals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</row>
    <row r="7" customFormat="false" ht="15" hidden="false" customHeight="false" outlineLevel="0" collapsed="false">
      <c r="A7" s="7" t="s">
        <v>9</v>
      </c>
      <c r="B7" s="8" t="n">
        <v>0.081</v>
      </c>
      <c r="C7" s="7" t="s">
        <v>10</v>
      </c>
      <c r="D7" s="7" t="s">
        <v>11</v>
      </c>
      <c r="E7" s="9" t="s">
        <v>12</v>
      </c>
    </row>
    <row r="8" customFormat="false" ht="15" hidden="false" customHeight="false" outlineLevel="0" collapsed="false">
      <c r="A8" s="7" t="s">
        <v>13</v>
      </c>
      <c r="B8" s="10" t="n">
        <v>100000</v>
      </c>
      <c r="C8" s="7" t="s">
        <v>14</v>
      </c>
      <c r="D8" s="7" t="s">
        <v>15</v>
      </c>
      <c r="E8" s="9" t="s">
        <v>16</v>
      </c>
    </row>
    <row r="9" customFormat="false" ht="15" hidden="false" customHeight="false" outlineLevel="0" collapsed="false">
      <c r="A9" s="7" t="s">
        <v>17</v>
      </c>
      <c r="B9" s="11" t="n">
        <v>95</v>
      </c>
      <c r="C9" s="7" t="s">
        <v>18</v>
      </c>
      <c r="D9" s="7" t="s">
        <v>19</v>
      </c>
      <c r="E9" s="9" t="s">
        <v>20</v>
      </c>
    </row>
    <row r="10" customFormat="false" ht="15" hidden="false" customHeight="false" outlineLevel="0" collapsed="false">
      <c r="A10" s="7" t="s">
        <v>21</v>
      </c>
      <c r="B10" s="12" t="n">
        <f aca="false">Panier_TTC/(1+TVA)</f>
        <v>87.881591119334</v>
      </c>
      <c r="C10" s="7" t="s">
        <v>18</v>
      </c>
      <c r="D10" s="7" t="s">
        <v>22</v>
      </c>
      <c r="E10" s="9" t="s">
        <v>23</v>
      </c>
    </row>
    <row r="11" customFormat="false" ht="15" hidden="false" customHeight="false" outlineLevel="0" collapsed="false">
      <c r="A11" s="7" t="s">
        <v>24</v>
      </c>
      <c r="B11" s="8" t="n">
        <v>0.22</v>
      </c>
      <c r="C11" s="7" t="s">
        <v>25</v>
      </c>
      <c r="D11" s="7" t="s">
        <v>26</v>
      </c>
      <c r="E11" s="9" t="s">
        <v>27</v>
      </c>
    </row>
    <row r="12" customFormat="false" ht="15" hidden="false" customHeight="false" outlineLevel="0" collapsed="false">
      <c r="A12" s="7" t="s">
        <v>28</v>
      </c>
      <c r="B12" s="13" t="n">
        <f aca="false">'Charges mensuelles'!B7</f>
        <v>400</v>
      </c>
      <c r="C12" s="7" t="s">
        <v>29</v>
      </c>
      <c r="D12" s="7" t="s">
        <v>30</v>
      </c>
      <c r="E12" s="9" t="s">
        <v>31</v>
      </c>
    </row>
    <row r="13" customFormat="false" ht="15" hidden="false" customHeight="false" outlineLevel="0" collapsed="false">
      <c r="A13" s="7" t="s">
        <v>32</v>
      </c>
      <c r="B13" s="10" t="n">
        <v>2000</v>
      </c>
      <c r="C13" s="7" t="s">
        <v>29</v>
      </c>
      <c r="D13" s="7" t="s">
        <v>33</v>
      </c>
      <c r="E13" s="9" t="s">
        <v>34</v>
      </c>
    </row>
    <row r="14" customFormat="false" ht="15" hidden="false" customHeight="false" outlineLevel="0" collapsed="false">
      <c r="A14" s="7" t="s">
        <v>35</v>
      </c>
      <c r="B14" s="8" t="n">
        <v>0.7</v>
      </c>
      <c r="C14" s="7" t="s">
        <v>10</v>
      </c>
      <c r="D14" s="7" t="s">
        <v>36</v>
      </c>
      <c r="E14" s="9" t="s">
        <v>37</v>
      </c>
    </row>
    <row r="15" customFormat="false" ht="15" hidden="false" customHeight="false" outlineLevel="0" collapsed="false">
      <c r="A15" s="7" t="s">
        <v>38</v>
      </c>
      <c r="B15" s="13" t="n">
        <f aca="false">'Budget initial'!B5</f>
        <v>3000</v>
      </c>
      <c r="C15" s="7" t="s">
        <v>18</v>
      </c>
      <c r="D15" s="7" t="s">
        <v>39</v>
      </c>
      <c r="E15" s="9" t="s">
        <v>40</v>
      </c>
    </row>
    <row r="16" customFormat="false" ht="15" hidden="false" customHeight="false" outlineLevel="0" collapsed="false">
      <c r="A16" s="7" t="s">
        <v>41</v>
      </c>
      <c r="B16" s="14" t="n">
        <v>30</v>
      </c>
      <c r="C16" s="7" t="s">
        <v>42</v>
      </c>
      <c r="D16" s="7" t="s">
        <v>43</v>
      </c>
      <c r="E16" s="9" t="s">
        <v>44</v>
      </c>
    </row>
    <row r="17" customFormat="false" ht="15" hidden="false" customHeight="false" outlineLevel="0" collapsed="false">
      <c r="A17" s="7" t="s">
        <v>45</v>
      </c>
      <c r="B17" s="15" t="n">
        <f aca="false">52/12</f>
        <v>4.33333333333333</v>
      </c>
      <c r="C17" s="7" t="s">
        <v>46</v>
      </c>
      <c r="D17" s="7" t="s">
        <v>47</v>
      </c>
      <c r="E17" s="9" t="s">
        <v>48</v>
      </c>
    </row>
    <row r="18" customFormat="false" ht="15" hidden="false" customHeight="false" outlineLevel="0" collapsed="false">
      <c r="A18" s="7" t="s">
        <v>49</v>
      </c>
      <c r="B18" s="11" t="n">
        <v>8</v>
      </c>
      <c r="C18" s="7" t="s">
        <v>18</v>
      </c>
      <c r="D18" s="7" t="s">
        <v>50</v>
      </c>
      <c r="E18" s="9" t="s">
        <v>51</v>
      </c>
    </row>
    <row r="19" customFormat="false" ht="15" hidden="false" customHeight="false" outlineLevel="0" collapsed="false">
      <c r="A19" s="7" t="s">
        <v>52</v>
      </c>
      <c r="B19" s="8" t="n">
        <v>0.12</v>
      </c>
      <c r="C19" s="7" t="s">
        <v>10</v>
      </c>
      <c r="D19" s="7" t="s">
        <v>50</v>
      </c>
      <c r="E19" s="9" t="s">
        <v>53</v>
      </c>
    </row>
    <row r="20" customFormat="false" ht="15" hidden="false" customHeight="false" outlineLevel="0" collapsed="false">
      <c r="A20" s="7" t="s">
        <v>54</v>
      </c>
      <c r="B20" s="14" t="n">
        <v>6</v>
      </c>
      <c r="C20" s="7" t="s">
        <v>55</v>
      </c>
      <c r="D20" s="7" t="s">
        <v>56</v>
      </c>
      <c r="E20" s="9" t="s">
        <v>57</v>
      </c>
    </row>
    <row r="21" customFormat="false" ht="15" hidden="false" customHeight="false" outlineLevel="0" collapsed="false">
      <c r="A21" s="7" t="s">
        <v>58</v>
      </c>
      <c r="B21" s="14" t="n">
        <v>10</v>
      </c>
      <c r="C21" s="7" t="s">
        <v>55</v>
      </c>
      <c r="D21" s="7" t="s">
        <v>56</v>
      </c>
      <c r="E21" s="9" t="s">
        <v>59</v>
      </c>
    </row>
    <row r="22" customFormat="false" ht="15" hidden="false" customHeight="false" outlineLevel="0" collapsed="false">
      <c r="A22" s="7" t="s">
        <v>60</v>
      </c>
      <c r="B22" s="14" t="n">
        <v>15</v>
      </c>
      <c r="C22" s="7" t="s">
        <v>61</v>
      </c>
      <c r="D22" s="16" t="s">
        <v>62</v>
      </c>
      <c r="E22" s="9" t="s">
        <v>63</v>
      </c>
    </row>
    <row r="25" customFormat="false" ht="15" hidden="false" customHeight="false" outlineLevel="0" collapsed="false">
      <c r="A25" s="4" t="s">
        <v>64</v>
      </c>
      <c r="B25" s="5"/>
      <c r="C25" s="5"/>
      <c r="D25" s="5"/>
      <c r="E25" s="5"/>
    </row>
    <row r="26" customFormat="false" ht="15" hidden="false" customHeight="false" outlineLevel="0" collapsed="false">
      <c r="A26" s="6" t="s">
        <v>4</v>
      </c>
      <c r="B26" s="6" t="s">
        <v>65</v>
      </c>
      <c r="C26" s="6" t="s">
        <v>66</v>
      </c>
      <c r="D26" s="6" t="s">
        <v>67</v>
      </c>
      <c r="E26" s="6" t="s">
        <v>68</v>
      </c>
    </row>
    <row r="27" customFormat="false" ht="15" hidden="false" customHeight="false" outlineLevel="0" collapsed="false">
      <c r="A27" s="7" t="s">
        <v>69</v>
      </c>
      <c r="B27" s="14" t="n">
        <v>40</v>
      </c>
      <c r="C27" s="14" t="n">
        <v>100</v>
      </c>
      <c r="D27" s="14" t="n">
        <v>200</v>
      </c>
      <c r="E27" s="7" t="s">
        <v>70</v>
      </c>
    </row>
    <row r="28" customFormat="false" ht="15" hidden="false" customHeight="false" outlineLevel="0" collapsed="false">
      <c r="A28" s="7" t="s">
        <v>71</v>
      </c>
      <c r="B28" s="11" t="n">
        <v>8</v>
      </c>
      <c r="C28" s="11" t="n">
        <v>6</v>
      </c>
      <c r="D28" s="11" t="n">
        <v>5</v>
      </c>
      <c r="E28" s="7" t="s">
        <v>72</v>
      </c>
    </row>
    <row r="30" customFormat="false" ht="15" hidden="false" customHeight="false" outlineLevel="0" collapsed="false">
      <c r="A30" s="4" t="s">
        <v>73</v>
      </c>
      <c r="B30" s="5"/>
      <c r="C30" s="5"/>
      <c r="D30" s="5"/>
      <c r="E30" s="5"/>
    </row>
    <row r="31" customFormat="false" ht="15" hidden="false" customHeight="false" outlineLevel="0" collapsed="false">
      <c r="A31" s="6" t="s">
        <v>4</v>
      </c>
      <c r="B31" s="6" t="s">
        <v>5</v>
      </c>
      <c r="C31" s="6" t="s">
        <v>6</v>
      </c>
      <c r="D31" s="6" t="s">
        <v>68</v>
      </c>
      <c r="E31" s="6" t="s">
        <v>8</v>
      </c>
    </row>
    <row r="32" customFormat="false" ht="15" hidden="false" customHeight="false" outlineLevel="0" collapsed="false">
      <c r="A32" s="7" t="s">
        <v>74</v>
      </c>
      <c r="B32" s="8" t="n">
        <v>0.15</v>
      </c>
      <c r="C32" s="7" t="s">
        <v>25</v>
      </c>
      <c r="D32" s="7" t="s">
        <v>75</v>
      </c>
      <c r="E32" s="9" t="s">
        <v>76</v>
      </c>
    </row>
    <row r="33" customFormat="false" ht="15" hidden="false" customHeight="false" outlineLevel="0" collapsed="false">
      <c r="A33" s="7" t="s">
        <v>77</v>
      </c>
      <c r="B33" s="11" t="n">
        <v>15</v>
      </c>
      <c r="C33" s="7" t="s">
        <v>18</v>
      </c>
      <c r="D33" s="7" t="s">
        <v>75</v>
      </c>
      <c r="E33" s="9" t="s">
        <v>78</v>
      </c>
    </row>
    <row r="35" customFormat="false" ht="15" hidden="false" customHeight="false" outlineLevel="0" collapsed="false">
      <c r="A35" s="4" t="s">
        <v>79</v>
      </c>
      <c r="B35" s="5"/>
      <c r="C35" s="5"/>
      <c r="D35" s="5"/>
      <c r="E35" s="5"/>
    </row>
    <row r="36" customFormat="false" ht="15" hidden="false" customHeight="false" outlineLevel="0" collapsed="false">
      <c r="A36" s="6" t="s">
        <v>4</v>
      </c>
      <c r="B36" s="6" t="s">
        <v>5</v>
      </c>
      <c r="C36" s="6" t="s">
        <v>6</v>
      </c>
      <c r="D36" s="6" t="s">
        <v>7</v>
      </c>
      <c r="E36" s="6" t="s">
        <v>8</v>
      </c>
    </row>
    <row r="37" customFormat="false" ht="15" hidden="false" customHeight="false" outlineLevel="0" collapsed="false">
      <c r="A37" s="7" t="s">
        <v>80</v>
      </c>
      <c r="B37" s="14" t="n">
        <v>14</v>
      </c>
      <c r="C37" s="7" t="s">
        <v>42</v>
      </c>
      <c r="D37" s="16" t="s">
        <v>81</v>
      </c>
      <c r="E37" s="9" t="s">
        <v>82</v>
      </c>
    </row>
    <row r="38" customFormat="false" ht="15" hidden="false" customHeight="false" outlineLevel="0" collapsed="false">
      <c r="A38" s="7" t="s">
        <v>83</v>
      </c>
      <c r="B38" s="14" t="n">
        <v>30</v>
      </c>
      <c r="C38" s="7" t="s">
        <v>42</v>
      </c>
      <c r="D38" s="16" t="s">
        <v>84</v>
      </c>
      <c r="E38" s="9" t="s">
        <v>85</v>
      </c>
    </row>
    <row r="39" customFormat="false" ht="15" hidden="false" customHeight="false" outlineLevel="0" collapsed="false">
      <c r="A39" s="7" t="s">
        <v>86</v>
      </c>
      <c r="B39" s="14" t="n">
        <v>0</v>
      </c>
      <c r="C39" s="7" t="s">
        <v>42</v>
      </c>
      <c r="D39" s="16" t="s">
        <v>87</v>
      </c>
      <c r="E39" s="9" t="s">
        <v>88</v>
      </c>
    </row>
    <row r="40" customFormat="false" ht="15" hidden="false" customHeight="false" outlineLevel="0" collapsed="false">
      <c r="A40" s="7" t="s">
        <v>89</v>
      </c>
      <c r="B40" s="14" t="n">
        <v>7</v>
      </c>
      <c r="C40" s="7" t="s">
        <v>42</v>
      </c>
      <c r="D40" s="16" t="s">
        <v>90</v>
      </c>
      <c r="E40" s="9" t="s">
        <v>91</v>
      </c>
    </row>
  </sheetData>
  <mergeCells count="1"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6" t="s">
        <v>94</v>
      </c>
      <c r="B4" s="6" t="s">
        <v>95</v>
      </c>
      <c r="C4" s="6" t="s">
        <v>96</v>
      </c>
      <c r="D4" s="6" t="s">
        <v>97</v>
      </c>
    </row>
    <row r="5" customFormat="false" ht="15" hidden="false" customHeight="false" outlineLevel="0" collapsed="false">
      <c r="A5" s="7" t="s">
        <v>98</v>
      </c>
      <c r="B5" s="10" t="n">
        <v>3000</v>
      </c>
      <c r="C5" s="7" t="s">
        <v>99</v>
      </c>
      <c r="D5" s="7" t="s">
        <v>100</v>
      </c>
    </row>
    <row r="6" customFormat="false" ht="15" hidden="false" customHeight="false" outlineLevel="0" collapsed="false">
      <c r="A6" s="7" t="s">
        <v>101</v>
      </c>
      <c r="B6" s="10" t="n">
        <v>1500</v>
      </c>
      <c r="C6" s="7" t="s">
        <v>102</v>
      </c>
      <c r="D6" s="7" t="s">
        <v>103</v>
      </c>
    </row>
    <row r="7" customFormat="false" ht="15" hidden="false" customHeight="false" outlineLevel="0" collapsed="false">
      <c r="A7" s="7" t="s">
        <v>104</v>
      </c>
      <c r="B7" s="10" t="n">
        <v>400</v>
      </c>
      <c r="C7" s="7" t="s">
        <v>105</v>
      </c>
      <c r="D7" s="7" t="s">
        <v>103</v>
      </c>
    </row>
    <row r="8" customFormat="false" ht="15" hidden="false" customHeight="false" outlineLevel="0" collapsed="false">
      <c r="A8" s="7" t="s">
        <v>106</v>
      </c>
      <c r="B8" s="10" t="n">
        <v>700</v>
      </c>
      <c r="C8" s="7" t="s">
        <v>107</v>
      </c>
      <c r="D8" s="7" t="s">
        <v>103</v>
      </c>
    </row>
    <row r="9" customFormat="false" ht="15" hidden="false" customHeight="false" outlineLevel="0" collapsed="false">
      <c r="A9" s="7" t="s">
        <v>108</v>
      </c>
      <c r="B9" s="10" t="n">
        <v>300</v>
      </c>
      <c r="C9" s="7" t="s">
        <v>109</v>
      </c>
      <c r="D9" s="7" t="s">
        <v>103</v>
      </c>
    </row>
    <row r="10" customFormat="false" ht="15" hidden="false" customHeight="false" outlineLevel="0" collapsed="false">
      <c r="A10" s="7" t="s">
        <v>110</v>
      </c>
      <c r="B10" s="10" t="n">
        <v>500</v>
      </c>
      <c r="C10" s="7" t="s">
        <v>111</v>
      </c>
      <c r="D10" s="7" t="s">
        <v>112</v>
      </c>
    </row>
    <row r="11" customFormat="false" ht="15" hidden="false" customHeight="false" outlineLevel="0" collapsed="false">
      <c r="A11" s="7" t="s">
        <v>113</v>
      </c>
      <c r="B11" s="10" t="n">
        <v>1600</v>
      </c>
      <c r="C11" s="7" t="s">
        <v>114</v>
      </c>
      <c r="D11" s="7" t="s">
        <v>115</v>
      </c>
    </row>
    <row r="12" customFormat="false" ht="15" hidden="false" customHeight="false" outlineLevel="0" collapsed="false">
      <c r="A12" s="17" t="s">
        <v>116</v>
      </c>
      <c r="B12" s="18" t="n">
        <f aca="false">SUM(B5:B11)</f>
        <v>8000</v>
      </c>
    </row>
    <row r="13" customFormat="false" ht="15" hidden="false" customHeight="false" outlineLevel="0" collapsed="false">
      <c r="A13" s="7" t="s">
        <v>117</v>
      </c>
      <c r="B13" s="19" t="n">
        <v>8000</v>
      </c>
    </row>
    <row r="14" customFormat="false" ht="15" hidden="false" customHeight="false" outlineLevel="0" collapsed="false">
      <c r="A14" s="7" t="s">
        <v>118</v>
      </c>
      <c r="B14" s="7" t="str">
        <f aca="false">IF(B12=B13,"OK — conforme BP","ÉCART "&amp;TEXT(B12-B13,"#,##0"))</f>
        <v>OK — conforme BP</v>
      </c>
    </row>
    <row r="15" customFormat="false" ht="15" hidden="false" customHeight="false" outlineLevel="0" collapsed="false">
      <c r="A15" s="7" t="s">
        <v>119</v>
      </c>
      <c r="B15" s="20" t="n">
        <f aca="false">SUM(B5:B10)</f>
        <v>6400</v>
      </c>
    </row>
    <row r="16" customFormat="false" ht="27.75" hidden="false" customHeight="true" outlineLevel="0" collapsed="false">
      <c r="A16" s="7" t="s">
        <v>120</v>
      </c>
      <c r="B16" s="20" t="n">
        <f aca="false">B11</f>
        <v>1600</v>
      </c>
      <c r="C16" s="21" t="s">
        <v>121</v>
      </c>
      <c r="D16" s="21"/>
    </row>
    <row r="18" customFormat="false" ht="15" hidden="false" customHeight="false" outlineLevel="0" collapsed="false">
      <c r="A18" s="4" t="s">
        <v>122</v>
      </c>
      <c r="B18" s="5"/>
      <c r="C18" s="5"/>
      <c r="D18" s="5"/>
    </row>
    <row r="19" customFormat="false" ht="15" hidden="false" customHeight="false" outlineLevel="0" collapsed="false">
      <c r="A19" s="6" t="s">
        <v>123</v>
      </c>
      <c r="B19" s="6" t="s">
        <v>124</v>
      </c>
      <c r="C19" s="6" t="s">
        <v>18</v>
      </c>
      <c r="D19" s="6" t="s">
        <v>125</v>
      </c>
    </row>
    <row r="20" customFormat="false" ht="15" hidden="false" customHeight="false" outlineLevel="0" collapsed="false">
      <c r="A20" s="7" t="s">
        <v>126</v>
      </c>
      <c r="B20" s="8" t="n">
        <v>0.25</v>
      </c>
      <c r="C20" s="20" t="n">
        <f aca="false">$B$5*B20</f>
        <v>750</v>
      </c>
      <c r="D20" s="7"/>
    </row>
    <row r="21" customFormat="false" ht="15" hidden="false" customHeight="false" outlineLevel="0" collapsed="false">
      <c r="A21" s="7" t="s">
        <v>127</v>
      </c>
      <c r="B21" s="8" t="n">
        <v>0.25</v>
      </c>
      <c r="C21" s="20" t="n">
        <f aca="false">$B$5*B21</f>
        <v>750</v>
      </c>
      <c r="D21" s="7"/>
    </row>
    <row r="22" customFormat="false" ht="15" hidden="false" customHeight="false" outlineLevel="0" collapsed="false">
      <c r="A22" s="7" t="s">
        <v>128</v>
      </c>
      <c r="B22" s="8" t="n">
        <v>0.2</v>
      </c>
      <c r="C22" s="20" t="n">
        <f aca="false">$B$5*B22</f>
        <v>600</v>
      </c>
      <c r="D22" s="7"/>
    </row>
    <row r="23" customFormat="false" ht="15" hidden="false" customHeight="false" outlineLevel="0" collapsed="false">
      <c r="A23" s="7" t="s">
        <v>129</v>
      </c>
      <c r="B23" s="8" t="n">
        <v>0.2</v>
      </c>
      <c r="C23" s="20" t="n">
        <f aca="false">$B$5*B23</f>
        <v>600</v>
      </c>
      <c r="D23" s="7"/>
    </row>
    <row r="24" customFormat="false" ht="15" hidden="false" customHeight="false" outlineLevel="0" collapsed="false">
      <c r="A24" s="7" t="s">
        <v>130</v>
      </c>
      <c r="B24" s="8" t="n">
        <v>0.1</v>
      </c>
      <c r="C24" s="20" t="n">
        <f aca="false">$B$5*B24</f>
        <v>300</v>
      </c>
      <c r="D24" s="7"/>
    </row>
    <row r="25" customFormat="false" ht="15" hidden="false" customHeight="false" outlineLevel="0" collapsed="false">
      <c r="A25" s="17" t="s">
        <v>116</v>
      </c>
      <c r="B25" s="22" t="n">
        <f aca="false">SUM(B20:B24)</f>
        <v>1</v>
      </c>
      <c r="C25" s="23" t="n">
        <f aca="false">SUM(C20:C24)</f>
        <v>3000</v>
      </c>
      <c r="D25" s="7" t="str">
        <f aca="false">IF(ROUND(B25,4)=1,"OK — 100 %","ATTENTION : la répartition ne fait pas 100 %")</f>
        <v>OK — 100 %</v>
      </c>
    </row>
    <row r="26" customFormat="false" ht="15" hidden="false" customHeight="false" outlineLevel="0" collapsed="false">
      <c r="A26" s="7" t="s">
        <v>131</v>
      </c>
      <c r="B26" s="8" t="n">
        <v>0.25</v>
      </c>
      <c r="C26" s="20" t="n">
        <f aca="false">$B$5*B26</f>
        <v>750</v>
      </c>
      <c r="D26" s="7" t="s">
        <v>132</v>
      </c>
    </row>
  </sheetData>
  <mergeCells count="1">
    <mergeCell ref="C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134</v>
      </c>
    </row>
    <row r="3" customFormat="false" ht="15" hidden="false" customHeight="false" outlineLevel="0" collapsed="false">
      <c r="A3" s="6" t="s">
        <v>94</v>
      </c>
      <c r="B3" s="6" t="s">
        <v>135</v>
      </c>
      <c r="C3" s="6" t="s">
        <v>136</v>
      </c>
    </row>
    <row r="4" customFormat="false" ht="15" hidden="false" customHeight="false" outlineLevel="0" collapsed="false">
      <c r="A4" s="7" t="s">
        <v>137</v>
      </c>
      <c r="B4" s="10" t="n">
        <v>180</v>
      </c>
      <c r="C4" s="7" t="s">
        <v>138</v>
      </c>
    </row>
    <row r="5" customFormat="false" ht="15" hidden="false" customHeight="false" outlineLevel="0" collapsed="false">
      <c r="A5" s="7" t="s">
        <v>139</v>
      </c>
      <c r="B5" s="10" t="n">
        <v>120</v>
      </c>
      <c r="C5" s="7" t="s">
        <v>140</v>
      </c>
    </row>
    <row r="6" customFormat="false" ht="15" hidden="false" customHeight="false" outlineLevel="0" collapsed="false">
      <c r="A6" s="7" t="s">
        <v>141</v>
      </c>
      <c r="B6" s="10" t="n">
        <v>100</v>
      </c>
      <c r="C6" s="7" t="s">
        <v>142</v>
      </c>
    </row>
    <row r="7" customFormat="false" ht="15" hidden="false" customHeight="false" outlineLevel="0" collapsed="false">
      <c r="A7" s="17" t="s">
        <v>143</v>
      </c>
      <c r="B7" s="18" t="n">
        <f aca="false">SUM(B4:B6)</f>
        <v>400</v>
      </c>
    </row>
    <row r="8" customFormat="false" ht="15" hidden="false" customHeight="false" outlineLevel="0" collapsed="false">
      <c r="A8" s="7" t="s">
        <v>117</v>
      </c>
      <c r="B8" s="19" t="n">
        <v>400</v>
      </c>
    </row>
    <row r="9" customFormat="false" ht="15" hidden="false" customHeight="false" outlineLevel="0" collapsed="false">
      <c r="A9" s="7" t="s">
        <v>118</v>
      </c>
      <c r="B9" s="7" t="str">
        <f aca="false">IF(B7=B8,"OK — conforme BP","ÉCART "&amp;TEXT(B7-B8,"#,##0"))</f>
        <v>OK — conforme BP</v>
      </c>
    </row>
    <row r="11" customFormat="false" ht="15" hidden="false" customHeight="false" outlineLevel="0" collapsed="false">
      <c r="A11" s="4" t="s">
        <v>144</v>
      </c>
      <c r="B11" s="5"/>
      <c r="C11" s="5"/>
    </row>
    <row r="12" customFormat="false" ht="15" hidden="false" customHeight="false" outlineLevel="0" collapsed="false">
      <c r="A12" s="6" t="s">
        <v>145</v>
      </c>
      <c r="B12" s="6" t="s">
        <v>146</v>
      </c>
      <c r="C12" s="6" t="s">
        <v>22</v>
      </c>
    </row>
    <row r="13" customFormat="false" ht="15" hidden="false" customHeight="false" outlineLevel="0" collapsed="false">
      <c r="A13" s="7" t="s">
        <v>147</v>
      </c>
      <c r="B13" s="24" t="n">
        <f aca="false">Heures_min*Semaines_mois</f>
        <v>26</v>
      </c>
      <c r="C13" s="7" t="s">
        <v>148</v>
      </c>
    </row>
    <row r="14" customFormat="false" ht="15" hidden="false" customHeight="false" outlineLevel="0" collapsed="false">
      <c r="A14" s="7" t="s">
        <v>149</v>
      </c>
      <c r="B14" s="24" t="n">
        <f aca="false">Heures_max*Semaines_mois</f>
        <v>43.3333333333333</v>
      </c>
      <c r="C14" s="7" t="s">
        <v>150</v>
      </c>
    </row>
    <row r="15" customFormat="false" ht="15" hidden="false" customHeight="false" outlineLevel="0" collapsed="false">
      <c r="A15" s="7" t="s">
        <v>151</v>
      </c>
      <c r="C15" s="7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7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6" t="s">
        <v>154</v>
      </c>
      <c r="B4" s="6" t="s">
        <v>65</v>
      </c>
      <c r="C4" s="6" t="s">
        <v>66</v>
      </c>
      <c r="D4" s="6" t="s">
        <v>67</v>
      </c>
      <c r="E4" s="6" t="s">
        <v>155</v>
      </c>
    </row>
    <row r="5" customFormat="false" ht="15" hidden="false" customHeight="false" outlineLevel="0" collapsed="false">
      <c r="A5" s="7" t="s">
        <v>156</v>
      </c>
      <c r="B5" s="25" t="n">
        <f aca="false">Hypothèses!B27</f>
        <v>40</v>
      </c>
      <c r="C5" s="25" t="n">
        <f aca="false">Hypothèses!C27</f>
        <v>100</v>
      </c>
      <c r="D5" s="25" t="n">
        <f aca="false">Hypothèses!D27</f>
        <v>200</v>
      </c>
      <c r="E5" s="9" t="s">
        <v>157</v>
      </c>
    </row>
    <row r="6" customFormat="false" ht="15" hidden="false" customHeight="false" outlineLevel="0" collapsed="false">
      <c r="A6" s="7" t="s">
        <v>158</v>
      </c>
      <c r="B6" s="12" t="n">
        <f aca="false">Panier_TTC</f>
        <v>95</v>
      </c>
      <c r="C6" s="12" t="n">
        <f aca="false">Panier_TTC</f>
        <v>95</v>
      </c>
      <c r="D6" s="12" t="n">
        <f aca="false">Panier_TTC</f>
        <v>95</v>
      </c>
      <c r="E6" s="9" t="s">
        <v>18</v>
      </c>
    </row>
    <row r="7" customFormat="false" ht="15" hidden="false" customHeight="false" outlineLevel="0" collapsed="false">
      <c r="A7" s="7" t="s">
        <v>159</v>
      </c>
      <c r="B7" s="12" t="n">
        <f aca="false">Panier_HT</f>
        <v>87.881591119334</v>
      </c>
      <c r="C7" s="12" t="n">
        <f aca="false">Panier_HT</f>
        <v>87.881591119334</v>
      </c>
      <c r="D7" s="12" t="n">
        <f aca="false">Panier_HT</f>
        <v>87.881591119334</v>
      </c>
      <c r="E7" s="9" t="s">
        <v>160</v>
      </c>
    </row>
    <row r="8" customFormat="false" ht="15" hidden="false" customHeight="false" outlineLevel="0" collapsed="false">
      <c r="A8" s="7" t="s">
        <v>161</v>
      </c>
      <c r="B8" s="20" t="n">
        <f aca="false">B5*B6</f>
        <v>3800</v>
      </c>
      <c r="C8" s="20" t="n">
        <f aca="false">C5*C6</f>
        <v>9500</v>
      </c>
      <c r="D8" s="20" t="n">
        <f aca="false">D5*D6</f>
        <v>19000</v>
      </c>
      <c r="E8" s="9" t="s">
        <v>18</v>
      </c>
    </row>
    <row r="9" customFormat="false" ht="15" hidden="false" customHeight="false" outlineLevel="0" collapsed="false">
      <c r="A9" s="7" t="s">
        <v>162</v>
      </c>
      <c r="B9" s="20" t="n">
        <f aca="false">B8/(1+TVA)</f>
        <v>3515.26364477336</v>
      </c>
      <c r="C9" s="20" t="n">
        <f aca="false">C8/(1+TVA)</f>
        <v>8788.1591119334</v>
      </c>
      <c r="D9" s="20" t="n">
        <f aca="false">D8/(1+TVA)</f>
        <v>17576.3182238668</v>
      </c>
      <c r="E9" s="9" t="s">
        <v>18</v>
      </c>
    </row>
    <row r="10" customFormat="false" ht="15" hidden="false" customHeight="false" outlineLevel="0" collapsed="false">
      <c r="A10" s="7" t="s">
        <v>163</v>
      </c>
      <c r="B10" s="20" t="n">
        <f aca="false">B8-B9</f>
        <v>284.736355226642</v>
      </c>
      <c r="C10" s="20" t="n">
        <f aca="false">C8-C9</f>
        <v>711.840888066605</v>
      </c>
      <c r="D10" s="20" t="n">
        <f aca="false">D8-D9</f>
        <v>1423.68177613321</v>
      </c>
      <c r="E10" s="9" t="s">
        <v>18</v>
      </c>
    </row>
    <row r="11" customFormat="false" ht="15" hidden="false" customHeight="false" outlineLevel="0" collapsed="false">
      <c r="A11" s="7" t="s">
        <v>164</v>
      </c>
      <c r="B11" s="20" t="n">
        <f aca="false">B9*Taux_contribution</f>
        <v>773.358001850139</v>
      </c>
      <c r="C11" s="20" t="n">
        <f aca="false">C9*Taux_contribution</f>
        <v>1933.39500462535</v>
      </c>
      <c r="D11" s="20" t="n">
        <f aca="false">D9*Taux_contribution</f>
        <v>3866.79000925069</v>
      </c>
      <c r="E11" s="9" t="s">
        <v>165</v>
      </c>
    </row>
    <row r="12" customFormat="false" ht="15" hidden="false" customHeight="false" outlineLevel="0" collapsed="false">
      <c r="A12" s="7" t="s">
        <v>166</v>
      </c>
      <c r="B12" s="26" t="n">
        <f aca="false">Hypothèses!B28</f>
        <v>8</v>
      </c>
      <c r="C12" s="26" t="n">
        <f aca="false">Hypothèses!C28</f>
        <v>6</v>
      </c>
      <c r="D12" s="26" t="n">
        <f aca="false">Hypothèses!D28</f>
        <v>5</v>
      </c>
      <c r="E12" s="9" t="s">
        <v>167</v>
      </c>
    </row>
    <row r="13" customFormat="false" ht="15" hidden="false" customHeight="false" outlineLevel="0" collapsed="false">
      <c r="A13" s="7" t="s">
        <v>168</v>
      </c>
      <c r="B13" s="20" t="n">
        <f aca="false">B5*B12</f>
        <v>320</v>
      </c>
      <c r="C13" s="20" t="n">
        <f aca="false">C5*C12</f>
        <v>600</v>
      </c>
      <c r="D13" s="20" t="n">
        <f aca="false">D5*D12</f>
        <v>1000</v>
      </c>
      <c r="E13" s="9" t="s">
        <v>18</v>
      </c>
    </row>
    <row r="14" customFormat="false" ht="15" hidden="false" customHeight="false" outlineLevel="0" collapsed="false">
      <c r="A14" s="7" t="s">
        <v>169</v>
      </c>
      <c r="B14" s="20" t="n">
        <f aca="false">Charges_fixes</f>
        <v>400</v>
      </c>
      <c r="C14" s="20" t="n">
        <f aca="false">Charges_fixes</f>
        <v>400</v>
      </c>
      <c r="D14" s="20" t="n">
        <f aca="false">Charges_fixes</f>
        <v>400</v>
      </c>
      <c r="E14" s="9" t="s">
        <v>18</v>
      </c>
    </row>
    <row r="15" customFormat="false" ht="15" hidden="false" customHeight="false" outlineLevel="0" collapsed="false">
      <c r="A15" s="17" t="s">
        <v>170</v>
      </c>
      <c r="B15" s="18" t="n">
        <f aca="false">B11-B13-B14</f>
        <v>53.3580018501388</v>
      </c>
      <c r="C15" s="18" t="n">
        <f aca="false">C11-C13-C14</f>
        <v>933.395004625347</v>
      </c>
      <c r="D15" s="18" t="n">
        <f aca="false">D11-D13-D14</f>
        <v>2466.79000925069</v>
      </c>
      <c r="E15" s="9" t="s">
        <v>18</v>
      </c>
    </row>
    <row r="16" customFormat="false" ht="15" hidden="false" customHeight="false" outlineLevel="0" collapsed="false">
      <c r="A16" s="7" t="s">
        <v>32</v>
      </c>
      <c r="B16" s="20" t="n">
        <f aca="false">Remuneration</f>
        <v>2000</v>
      </c>
      <c r="C16" s="20" t="n">
        <f aca="false">Remuneration</f>
        <v>2000</v>
      </c>
      <c r="D16" s="20" t="n">
        <f aca="false">Remuneration</f>
        <v>2000</v>
      </c>
      <c r="E16" s="9" t="s">
        <v>171</v>
      </c>
    </row>
    <row r="17" customFormat="false" ht="15" hidden="false" customHeight="false" outlineLevel="0" collapsed="false">
      <c r="A17" s="17" t="s">
        <v>172</v>
      </c>
      <c r="B17" s="18" t="n">
        <f aca="false">B15-B16</f>
        <v>-1946.64199814986</v>
      </c>
      <c r="C17" s="18" t="n">
        <f aca="false">C15-C16</f>
        <v>-1066.60499537465</v>
      </c>
      <c r="D17" s="18" t="n">
        <f aca="false">D15-D16</f>
        <v>466.790009250694</v>
      </c>
      <c r="E17" s="9" t="s">
        <v>18</v>
      </c>
    </row>
    <row r="18" customFormat="false" ht="15" hidden="false" customHeight="false" outlineLevel="0" collapsed="false">
      <c r="A18" s="7" t="s">
        <v>173</v>
      </c>
      <c r="B18" s="12" t="n">
        <f aca="false">B7*Taux_contribution</f>
        <v>19.3339500462535</v>
      </c>
      <c r="C18" s="12" t="n">
        <f aca="false">C7*Taux_contribution</f>
        <v>19.3339500462535</v>
      </c>
      <c r="D18" s="12" t="n">
        <f aca="false">D7*Taux_contribution</f>
        <v>19.3339500462535</v>
      </c>
      <c r="E18" s="9" t="s">
        <v>18</v>
      </c>
    </row>
    <row r="19" customFormat="false" ht="15" hidden="false" customHeight="false" outlineLevel="0" collapsed="false">
      <c r="A19" s="7" t="s">
        <v>174</v>
      </c>
      <c r="B19" s="12" t="n">
        <f aca="false">B18-B12</f>
        <v>11.3339500462535</v>
      </c>
      <c r="C19" s="12" t="n">
        <f aca="false">C18-C12</f>
        <v>13.3339500462535</v>
      </c>
      <c r="D19" s="12" t="n">
        <f aca="false">D18-D12</f>
        <v>14.3339500462535</v>
      </c>
      <c r="E19" s="9" t="s">
        <v>18</v>
      </c>
    </row>
    <row r="20" customFormat="false" ht="15" hidden="false" customHeight="false" outlineLevel="0" collapsed="false">
      <c r="A20" s="7" t="s">
        <v>175</v>
      </c>
      <c r="B20" s="27" t="n">
        <f aca="false">IF(B7&gt;0,B19/B7,0)</f>
        <v>0.128968421052632</v>
      </c>
      <c r="C20" s="27" t="n">
        <f aca="false">IF(C7&gt;0,C19/C7,0)</f>
        <v>0.151726315789474</v>
      </c>
      <c r="D20" s="27" t="n">
        <f aca="false">IF(D7&gt;0,D19/D7,0)</f>
        <v>0.163105263157895</v>
      </c>
      <c r="E20" s="9" t="s">
        <v>10</v>
      </c>
    </row>
    <row r="21" customFormat="false" ht="15" hidden="false" customHeight="false" outlineLevel="0" collapsed="false">
      <c r="A21" s="7" t="s">
        <v>176</v>
      </c>
      <c r="B21" s="28" t="str">
        <f aca="false">IF(AND(B19&gt;=Plancher_CHF,B20&gt;=Plancher_pct),"oui","NON")</f>
        <v>oui</v>
      </c>
      <c r="C21" s="28" t="str">
        <f aca="false">IF(AND(C19&gt;=Plancher_CHF,C20&gt;=Plancher_pct),"oui","NON")</f>
        <v>oui</v>
      </c>
      <c r="D21" s="28" t="str">
        <f aca="false">IF(AND(D19&gt;=Plancher_CHF,D20&gt;=Plancher_pct),"oui","NON")</f>
        <v>oui</v>
      </c>
      <c r="E21" s="9" t="s">
        <v>50</v>
      </c>
    </row>
    <row r="22" customFormat="false" ht="15" hidden="false" customHeight="false" outlineLevel="0" collapsed="false">
      <c r="A22" s="7" t="s">
        <v>177</v>
      </c>
      <c r="B22" s="20" t="n">
        <f aca="false">B8*12</f>
        <v>45600</v>
      </c>
      <c r="C22" s="20" t="n">
        <f aca="false">C8*12</f>
        <v>114000</v>
      </c>
      <c r="D22" s="20" t="n">
        <f aca="false">D8*12</f>
        <v>228000</v>
      </c>
      <c r="E22" s="9" t="s">
        <v>14</v>
      </c>
    </row>
    <row r="23" customFormat="false" ht="15" hidden="false" customHeight="false" outlineLevel="0" collapsed="false">
      <c r="A23" s="7" t="s">
        <v>178</v>
      </c>
      <c r="B23" s="28" t="str">
        <f aca="false">IF(B22&gt;=Seuil_TVA,"OUI — anticiper l'examen TVA","non")</f>
        <v>non</v>
      </c>
      <c r="C23" s="28" t="str">
        <f aca="false">IF(C22&gt;=Seuil_TVA,"OUI — anticiper l'examen TVA","non")</f>
        <v>OUI — anticiper l'examen TVA</v>
      </c>
      <c r="D23" s="28" t="str">
        <f aca="false">IF(D22&gt;=Seuil_TVA,"OUI — anticiper l'examen TVA","non")</f>
        <v>OUI — anticiper l'examen TVA</v>
      </c>
      <c r="E23" s="9" t="s">
        <v>179</v>
      </c>
    </row>
    <row r="24" customFormat="false" ht="15" hidden="false" customHeight="false" outlineLevel="0" collapsed="false">
      <c r="A24" s="7" t="s">
        <v>180</v>
      </c>
      <c r="B24" s="24" t="n">
        <f aca="false">(Heures_min+Heures_max)/2*Semaines_mois+B5*Minutes_prep/60</f>
        <v>44.6666666666667</v>
      </c>
      <c r="C24" s="24" t="n">
        <f aca="false">(Heures_min+Heures_max)/2*Semaines_mois+C5*Minutes_prep/60</f>
        <v>59.6666666666667</v>
      </c>
      <c r="D24" s="24" t="n">
        <f aca="false">(Heures_min+Heures_max)/2*Semaines_mois+D5*Minutes_prep/60</f>
        <v>84.6666666666667</v>
      </c>
      <c r="E24" s="9" t="s">
        <v>181</v>
      </c>
    </row>
    <row r="25" customFormat="false" ht="15" hidden="false" customHeight="false" outlineLevel="0" collapsed="false">
      <c r="A25" s="7" t="s">
        <v>182</v>
      </c>
      <c r="B25" s="12" t="n">
        <f aca="false">IF(B24&gt;0,B15/B24,0)</f>
        <v>1.19458213097326</v>
      </c>
      <c r="C25" s="12" t="n">
        <f aca="false">IF(C24&gt;0,C15/C24,0)</f>
        <v>15.6434916976315</v>
      </c>
      <c r="D25" s="12" t="n">
        <f aca="false">IF(D24&gt;0,D15/D24,0)</f>
        <v>29.1353150698901</v>
      </c>
      <c r="E25" s="9" t="s">
        <v>183</v>
      </c>
    </row>
    <row r="27" customFormat="false" ht="15" hidden="false" customHeight="false" outlineLevel="0" collapsed="false">
      <c r="A27" s="4" t="s">
        <v>184</v>
      </c>
      <c r="B27" s="5"/>
      <c r="C27" s="5"/>
      <c r="D27" s="5"/>
      <c r="E27" s="5"/>
    </row>
    <row r="28" customFormat="false" ht="15" hidden="false" customHeight="false" outlineLevel="0" collapsed="false">
      <c r="A28" s="6" t="s">
        <v>185</v>
      </c>
      <c r="B28" s="6" t="s">
        <v>65</v>
      </c>
      <c r="C28" s="6" t="s">
        <v>66</v>
      </c>
      <c r="D28" s="6" t="s">
        <v>67</v>
      </c>
      <c r="E28" s="6" t="s">
        <v>186</v>
      </c>
    </row>
    <row r="29" customFormat="false" ht="15" hidden="false" customHeight="false" outlineLevel="0" collapsed="false">
      <c r="A29" s="7" t="s">
        <v>161</v>
      </c>
      <c r="B29" s="19" t="n">
        <v>3800</v>
      </c>
      <c r="C29" s="19" t="n">
        <v>9500</v>
      </c>
      <c r="D29" s="19" t="n">
        <v>19000</v>
      </c>
    </row>
    <row r="30" customFormat="false" ht="15" hidden="false" customHeight="false" outlineLevel="0" collapsed="false">
      <c r="A30" s="7" t="s">
        <v>162</v>
      </c>
      <c r="B30" s="19" t="n">
        <v>3515</v>
      </c>
      <c r="C30" s="19" t="n">
        <v>8788</v>
      </c>
      <c r="D30" s="19" t="n">
        <v>17577</v>
      </c>
    </row>
    <row r="31" customFormat="false" ht="15" hidden="false" customHeight="false" outlineLevel="0" collapsed="false">
      <c r="A31" s="7" t="s">
        <v>164</v>
      </c>
      <c r="B31" s="19" t="n">
        <v>773</v>
      </c>
      <c r="C31" s="19" t="n">
        <v>1933</v>
      </c>
      <c r="D31" s="19" t="n">
        <v>3867</v>
      </c>
    </row>
    <row r="32" customFormat="false" ht="15" hidden="false" customHeight="false" outlineLevel="0" collapsed="false">
      <c r="A32" s="7" t="s">
        <v>168</v>
      </c>
      <c r="B32" s="19" t="n">
        <v>320</v>
      </c>
      <c r="C32" s="19" t="n">
        <v>600</v>
      </c>
      <c r="D32" s="19" t="n">
        <v>1000</v>
      </c>
    </row>
    <row r="33" customFormat="false" ht="15" hidden="false" customHeight="false" outlineLevel="0" collapsed="false">
      <c r="A33" s="7" t="s">
        <v>170</v>
      </c>
      <c r="B33" s="19" t="n">
        <v>53</v>
      </c>
      <c r="C33" s="19" t="n">
        <v>933</v>
      </c>
      <c r="D33" s="19" t="n">
        <v>2467</v>
      </c>
    </row>
    <row r="35" customFormat="false" ht="15" hidden="false" customHeight="false" outlineLevel="0" collapsed="false">
      <c r="A35" s="6" t="s">
        <v>187</v>
      </c>
      <c r="B35" s="6" t="s">
        <v>65</v>
      </c>
      <c r="C35" s="6" t="s">
        <v>66</v>
      </c>
      <c r="D35" s="6" t="s">
        <v>67</v>
      </c>
      <c r="E35" s="6" t="s">
        <v>188</v>
      </c>
    </row>
    <row r="36" customFormat="false" ht="15" hidden="false" customHeight="false" outlineLevel="0" collapsed="false">
      <c r="A36" s="7" t="s">
        <v>189</v>
      </c>
      <c r="B36" s="29" t="n">
        <f aca="false">ROUND(B8,0)-B29</f>
        <v>0</v>
      </c>
      <c r="C36" s="29" t="n">
        <f aca="false">ROUND(C8,0)-C29</f>
        <v>0</v>
      </c>
      <c r="D36" s="29" t="n">
        <f aca="false">ROUND(D8,0)-D29</f>
        <v>0</v>
      </c>
    </row>
    <row r="37" customFormat="false" ht="15" hidden="false" customHeight="false" outlineLevel="0" collapsed="false">
      <c r="A37" s="7" t="s">
        <v>190</v>
      </c>
      <c r="B37" s="29" t="n">
        <f aca="false">ROUND(B9,0)-B30</f>
        <v>0</v>
      </c>
      <c r="C37" s="29" t="n">
        <f aca="false">ROUND(C9,0)-C30</f>
        <v>0</v>
      </c>
      <c r="D37" s="29" t="n">
        <f aca="false">ROUND(D9,0)-D30</f>
        <v>-1</v>
      </c>
      <c r="E37" s="9" t="s">
        <v>191</v>
      </c>
    </row>
    <row r="38" customFormat="false" ht="15" hidden="false" customHeight="false" outlineLevel="0" collapsed="false">
      <c r="A38" s="7" t="s">
        <v>192</v>
      </c>
      <c r="B38" s="29" t="n">
        <f aca="false">ROUND(B11,0)-B31</f>
        <v>0</v>
      </c>
      <c r="C38" s="29" t="n">
        <f aca="false">ROUND(C11,0)-C31</f>
        <v>0</v>
      </c>
      <c r="D38" s="29" t="n">
        <f aca="false">ROUND(D11,0)-D31</f>
        <v>0</v>
      </c>
    </row>
    <row r="39" customFormat="false" ht="15" hidden="false" customHeight="false" outlineLevel="0" collapsed="false">
      <c r="A39" s="7" t="s">
        <v>193</v>
      </c>
      <c r="B39" s="29" t="n">
        <f aca="false">ROUND(B13,0)-B32</f>
        <v>0</v>
      </c>
      <c r="C39" s="29" t="n">
        <f aca="false">ROUND(C13,0)-C32</f>
        <v>0</v>
      </c>
      <c r="D39" s="29" t="n">
        <f aca="false">ROUND(D13,0)-D32</f>
        <v>0</v>
      </c>
    </row>
    <row r="40" customFormat="false" ht="15" hidden="false" customHeight="false" outlineLevel="0" collapsed="false">
      <c r="A40" s="7" t="s">
        <v>194</v>
      </c>
      <c r="B40" s="29" t="n">
        <f aca="false">ROUND(B15,0)-B33</f>
        <v>0</v>
      </c>
      <c r="C40" s="29" t="n">
        <f aca="false">ROUND(C15,0)-C33</f>
        <v>0</v>
      </c>
      <c r="D40" s="29" t="n">
        <f aca="false">ROUND(D15,0)-D33</f>
        <v>0</v>
      </c>
    </row>
    <row r="41" customFormat="false" ht="15" hidden="false" customHeight="false" outlineLevel="0" collapsed="false">
      <c r="A41" s="17" t="s">
        <v>195</v>
      </c>
      <c r="B41" s="17" t="str">
        <f aca="false">IF(SUMPRODUCT(ABS(B36:B40))=0,"OK","ÉCART "&amp;SUMPRODUCT(B36:B40)&amp;" CHF")</f>
        <v>OK</v>
      </c>
      <c r="C41" s="17" t="str">
        <f aca="false">IF(SUMPRODUCT(ABS(C36:C40))=0,"OK","ÉCART "&amp;SUMPRODUCT(C36:C40)&amp;" CHF")</f>
        <v>OK</v>
      </c>
      <c r="D41" s="17" t="str">
        <f aca="false">IF(SUMPRODUCT(ABS(D36:D40))=0,"OK","ÉCART "&amp;SUMPRODUCT(D36:D40)&amp;" CHF")</f>
        <v>ÉCART -1 CHF</v>
      </c>
    </row>
  </sheetData>
  <conditionalFormatting sqref="B21:D21">
    <cfRule type="cellIs" priority="2" operator="equal" aboveAverage="0" equalAverage="0" bottom="0" percent="0" rank="0" text="" dxfId="0">
      <formula>"NON"</formula>
    </cfRule>
  </conditionalFormatting>
  <conditionalFormatting sqref="B15:D17">
    <cfRule type="cellIs" priority="3" operator="lessThan" aboveAverage="0" equalAverage="0" bottom="0" percent="0" rank="0" text="" dxfId="0">
      <formula>0</formula>
    </cfRule>
  </conditionalFormatting>
  <conditionalFormatting sqref="B36:D40">
    <cfRule type="cellIs" priority="4" operator="not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40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15" hidden="false" customHeight="false" outlineLevel="0" collapsed="false">
      <c r="A4" s="4" t="s">
        <v>198</v>
      </c>
      <c r="B4" s="5"/>
      <c r="C4" s="5"/>
      <c r="D4" s="5"/>
      <c r="E4" s="5"/>
      <c r="F4" s="5"/>
    </row>
    <row r="5" customFormat="false" ht="15" hidden="false" customHeight="false" outlineLevel="0" collapsed="false">
      <c r="A5" s="6" t="s">
        <v>145</v>
      </c>
      <c r="B5" s="6" t="s">
        <v>199</v>
      </c>
      <c r="C5" s="6" t="s">
        <v>200</v>
      </c>
      <c r="D5" s="6" t="s">
        <v>185</v>
      </c>
      <c r="E5" s="6" t="s">
        <v>195</v>
      </c>
      <c r="F5" s="6" t="s">
        <v>188</v>
      </c>
    </row>
    <row r="6" customFormat="false" ht="15" hidden="false" customHeight="false" outlineLevel="0" collapsed="false">
      <c r="A6" s="7" t="s">
        <v>173</v>
      </c>
      <c r="B6" s="30" t="n">
        <f aca="false">Panier_HT*Taux_contribution</f>
        <v>19.3339500462535</v>
      </c>
      <c r="C6" s="12" t="n">
        <f aca="false">ROUND(B6,2)</f>
        <v>19.33</v>
      </c>
      <c r="D6" s="31" t="n">
        <v>19.33</v>
      </c>
      <c r="E6" s="7" t="str">
        <f aca="false">IF(C6=D6,IF(ROUND(B6,2)=D6,"OK","OK méthode BP — exact : "&amp;ROUND(B6,2)),"ÉCART")</f>
        <v>OK</v>
      </c>
    </row>
    <row r="7" customFormat="false" ht="15" hidden="false" customHeight="false" outlineLevel="0" collapsed="false">
      <c r="A7" s="7" t="s">
        <v>201</v>
      </c>
      <c r="B7" s="26" t="n">
        <f aca="false">Hypothèses!C28</f>
        <v>6</v>
      </c>
      <c r="C7" s="12" t="n">
        <f aca="false">B7</f>
        <v>6</v>
      </c>
      <c r="D7" s="31" t="n">
        <v>6</v>
      </c>
    </row>
    <row r="8" customFormat="false" ht="15" hidden="false" customHeight="false" outlineLevel="0" collapsed="false">
      <c r="A8" s="7" t="s">
        <v>174</v>
      </c>
      <c r="B8" s="30" t="n">
        <f aca="false">B6-B7</f>
        <v>13.3339500462535</v>
      </c>
      <c r="C8" s="12" t="n">
        <f aca="false">ROUND(C6-C7,2)</f>
        <v>13.33</v>
      </c>
      <c r="D8" s="31" t="n">
        <v>13.33</v>
      </c>
      <c r="E8" s="7" t="str">
        <f aca="false">IF(C8=D8,IF(ROUND(B8,2)=D8,"OK","OK méthode BP — exact : "&amp;ROUND(B8,2)),"ÉCART")</f>
        <v>OK</v>
      </c>
    </row>
    <row r="9" customFormat="false" ht="15" hidden="false" customHeight="false" outlineLevel="0" collapsed="false">
      <c r="A9" s="7" t="s">
        <v>202</v>
      </c>
      <c r="B9" s="20" t="n">
        <f aca="false">Charges_fixes</f>
        <v>400</v>
      </c>
      <c r="C9" s="20" t="n">
        <f aca="false">Charges_fixes</f>
        <v>400</v>
      </c>
      <c r="D9" s="19" t="n">
        <v>400</v>
      </c>
    </row>
    <row r="10" customFormat="false" ht="15" hidden="false" customHeight="false" outlineLevel="0" collapsed="false">
      <c r="A10" s="7" t="s">
        <v>203</v>
      </c>
      <c r="B10" s="30" t="n">
        <f aca="false">B9/B8</f>
        <v>29.9986124601082</v>
      </c>
      <c r="C10" s="30" t="n">
        <f aca="false">C9/C8</f>
        <v>30.0075018754689</v>
      </c>
    </row>
    <row r="11" customFormat="false" ht="15" hidden="false" customHeight="false" outlineLevel="0" collapsed="false">
      <c r="A11" s="17" t="s">
        <v>204</v>
      </c>
      <c r="B11" s="32" t="n">
        <f aca="false">ROUNDUP(B10,0)</f>
        <v>30</v>
      </c>
      <c r="C11" s="32" t="n">
        <f aca="false">ROUNDUP(C10,0)</f>
        <v>31</v>
      </c>
      <c r="D11" s="33" t="n">
        <v>31</v>
      </c>
      <c r="E11" s="7" t="str">
        <f aca="false">IF(C11=D11,IF(ROUND(B11,2)=D11,"OK","OK méthode BP — exact : "&amp;ROUND(B11,2)),"ÉCART")</f>
        <v>OK méthode BP — exact : 30</v>
      </c>
      <c r="F11" s="9" t="s">
        <v>205</v>
      </c>
    </row>
    <row r="12" customFormat="false" ht="15" hidden="false" customHeight="false" outlineLevel="0" collapsed="false">
      <c r="A12" s="7" t="s">
        <v>206</v>
      </c>
      <c r="B12" s="12" t="n">
        <f aca="false">B11*B8-B9</f>
        <v>0.0185013876040898</v>
      </c>
      <c r="C12" s="12" t="n">
        <f aca="false">C11*C8-C9</f>
        <v>13.23</v>
      </c>
    </row>
    <row r="13" customFormat="false" ht="15" hidden="false" customHeight="false" outlineLevel="0" collapsed="false">
      <c r="A13" s="17" t="s">
        <v>207</v>
      </c>
      <c r="B13" s="32" t="n">
        <f aca="false">ROUNDUP((B9+Remuneration)/B8,0)</f>
        <v>180</v>
      </c>
      <c r="C13" s="32" t="n">
        <f aca="false">ROUNDUP((C9+Remuneration)/C8,0)</f>
        <v>181</v>
      </c>
      <c r="D13" s="33" t="n">
        <v>181</v>
      </c>
      <c r="E13" s="7" t="str">
        <f aca="false">IF(C13=D13,IF(ROUND(B13,2)=D13,"OK","OK méthode BP — exact : "&amp;ROUND(B13,2)),"ÉCART")</f>
        <v>OK méthode BP — exact : 180</v>
      </c>
      <c r="F13" s="9" t="s">
        <v>208</v>
      </c>
    </row>
    <row r="15" customFormat="false" ht="15" hidden="false" customHeight="false" outlineLevel="0" collapsed="false">
      <c r="A15" s="4" t="s">
        <v>209</v>
      </c>
      <c r="B15" s="5"/>
      <c r="C15" s="5"/>
      <c r="D15" s="5"/>
      <c r="E15" s="5"/>
      <c r="F15" s="5"/>
    </row>
    <row r="16" customFormat="false" ht="15" hidden="false" customHeight="false" outlineLevel="0" collapsed="false">
      <c r="A16" s="6" t="s">
        <v>210</v>
      </c>
      <c r="B16" s="6" t="s">
        <v>211</v>
      </c>
      <c r="C16" s="6" t="s">
        <v>212</v>
      </c>
      <c r="D16" s="6" t="s">
        <v>213</v>
      </c>
      <c r="E16" s="6" t="s">
        <v>214</v>
      </c>
      <c r="F16" s="6" t="s">
        <v>215</v>
      </c>
    </row>
    <row r="17" customFormat="false" ht="15" hidden="false" customHeight="false" outlineLevel="0" collapsed="false">
      <c r="A17" s="7" t="s">
        <v>216</v>
      </c>
      <c r="B17" s="12" t="n">
        <f aca="false">Panier_HT*Taux_sensibilite</f>
        <v>13.1822386679001</v>
      </c>
      <c r="C17" s="12" t="n">
        <f aca="false">B17-Hypothèses!C28</f>
        <v>7.18223866790009</v>
      </c>
      <c r="D17" s="34" t="n">
        <f aca="false">IF(C17&gt;0,ROUNDUP(Charges_fixes/C17,0),"non rentable")</f>
        <v>56</v>
      </c>
      <c r="E17" s="33" t="n">
        <v>56</v>
      </c>
      <c r="F17" s="7" t="str">
        <f aca="false">IF(C17&gt;=Plancher_CHF,"respecté","NON — sous le plancher dur")</f>
        <v>NON — sous le plancher dur</v>
      </c>
    </row>
    <row r="18" customFormat="false" ht="15" hidden="false" customHeight="false" outlineLevel="0" collapsed="false">
      <c r="A18" s="7" t="s">
        <v>217</v>
      </c>
      <c r="B18" s="12" t="n">
        <f aca="false">Panier_HT*Taux_contribution</f>
        <v>19.3339500462535</v>
      </c>
      <c r="C18" s="12" t="n">
        <f aca="false">B18-CAC_eleve</f>
        <v>4.33395004625347</v>
      </c>
      <c r="D18" s="34" t="n">
        <f aca="false">IF(C18&gt;0,ROUNDUP(Charges_fixes/C18,0),"non rentable")</f>
        <v>93</v>
      </c>
      <c r="E18" s="33" t="n">
        <v>93</v>
      </c>
      <c r="F18" s="7" t="str">
        <f aca="false">IF(C18&gt;=Plancher_CHF,"respecté","NON — sous le plancher dur")</f>
        <v>NON — sous le plancher dur</v>
      </c>
    </row>
    <row r="19" customFormat="false" ht="15" hidden="false" customHeight="false" outlineLevel="0" collapsed="false">
      <c r="A19" s="9" t="s">
        <v>218</v>
      </c>
      <c r="B19" s="35" t="s">
        <v>219</v>
      </c>
      <c r="C19" s="35" t="s">
        <v>220</v>
      </c>
    </row>
    <row r="21" customFormat="false" ht="15" hidden="false" customHeight="false" outlineLevel="0" collapsed="false">
      <c r="A21" s="4" t="s">
        <v>221</v>
      </c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false" outlineLevel="0" collapsed="false">
      <c r="A22" s="6" t="s">
        <v>222</v>
      </c>
      <c r="B22" s="11" t="n">
        <v>0</v>
      </c>
      <c r="C22" s="11" t="n">
        <v>4</v>
      </c>
      <c r="D22" s="11" t="n">
        <v>5</v>
      </c>
      <c r="E22" s="11" t="n">
        <v>6</v>
      </c>
      <c r="F22" s="11" t="n">
        <v>8</v>
      </c>
      <c r="G22" s="11" t="n">
        <v>10</v>
      </c>
      <c r="H22" s="11" t="n">
        <v>12</v>
      </c>
      <c r="I22" s="11" t="n">
        <v>15</v>
      </c>
    </row>
    <row r="23" customFormat="false" ht="15" hidden="false" customHeight="false" outlineLevel="0" collapsed="false">
      <c r="A23" s="8" t="n">
        <v>0.12</v>
      </c>
      <c r="B23" s="36" t="n">
        <f aca="false">IF((Panier_HT*$A23-B$22)&gt;0,ROUNDUP(Charges_fixes/(Panier_HT*$A23-B$22),0),"non rentable")</f>
        <v>38</v>
      </c>
      <c r="C23" s="36" t="n">
        <f aca="false">IF((Panier_HT*$A23-C$22)&gt;0,ROUNDUP(Charges_fixes/(Panier_HT*$A23-C$22),0),"non rentable")</f>
        <v>62</v>
      </c>
      <c r="D23" s="36" t="n">
        <f aca="false">IF((Panier_HT*$A23-D$22)&gt;0,ROUNDUP(Charges_fixes/(Panier_HT*$A23-D$22),0),"non rentable")</f>
        <v>73</v>
      </c>
      <c r="E23" s="36" t="n">
        <f aca="false">IF((Panier_HT*$A23-E$22)&gt;0,ROUNDUP(Charges_fixes/(Panier_HT*$A23-E$22),0),"non rentable")</f>
        <v>88</v>
      </c>
      <c r="F23" s="36" t="n">
        <f aca="false">IF((Panier_HT*$A23-F$22)&gt;0,ROUNDUP(Charges_fixes/(Panier_HT*$A23-F$22),0),"non rentable")</f>
        <v>158</v>
      </c>
      <c r="G23" s="36" t="n">
        <f aca="false">IF((Panier_HT*$A23-G$22)&gt;0,ROUNDUP(Charges_fixes/(Panier_HT*$A23-G$22),0),"non rentable")</f>
        <v>733</v>
      </c>
      <c r="H23" s="36" t="str">
        <f aca="false">IF((Panier_HT*$A23-H$22)&gt;0,ROUNDUP(Charges_fixes/(Panier_HT*$A23-H$22),0),"non rentable")</f>
        <v>non rentable</v>
      </c>
      <c r="I23" s="36" t="str">
        <f aca="false">IF((Panier_HT*$A23-I$22)&gt;0,ROUNDUP(Charges_fixes/(Panier_HT*$A23-I$22),0),"non rentable")</f>
        <v>non rentable</v>
      </c>
    </row>
    <row r="24" customFormat="false" ht="15" hidden="false" customHeight="false" outlineLevel="0" collapsed="false">
      <c r="A24" s="8" t="n">
        <v>0.14</v>
      </c>
      <c r="B24" s="36" t="n">
        <f aca="false">IF((Panier_HT*$A24-B$22)&gt;0,ROUNDUP(Charges_fixes/(Panier_HT*$A24-B$22),0),"non rentable")</f>
        <v>33</v>
      </c>
      <c r="C24" s="36" t="n">
        <f aca="false">IF((Panier_HT*$A24-C$22)&gt;0,ROUNDUP(Charges_fixes/(Panier_HT*$A24-C$22),0),"non rentable")</f>
        <v>49</v>
      </c>
      <c r="D24" s="36" t="n">
        <f aca="false">IF((Panier_HT*$A24-D$22)&gt;0,ROUNDUP(Charges_fixes/(Panier_HT*$A24-D$22),0),"non rentable")</f>
        <v>55</v>
      </c>
      <c r="E24" s="36" t="n">
        <f aca="false">IF((Panier_HT*$A24-E$22)&gt;0,ROUNDUP(Charges_fixes/(Panier_HT*$A24-E$22),0),"non rentable")</f>
        <v>64</v>
      </c>
      <c r="F24" s="36" t="n">
        <f aca="false">IF((Panier_HT*$A24-F$22)&gt;0,ROUNDUP(Charges_fixes/(Panier_HT*$A24-F$22),0),"non rentable")</f>
        <v>93</v>
      </c>
      <c r="G24" s="36" t="n">
        <f aca="false">IF((Panier_HT*$A24-G$22)&gt;0,ROUNDUP(Charges_fixes/(Panier_HT*$A24-G$22),0),"non rentable")</f>
        <v>174</v>
      </c>
      <c r="H24" s="36" t="n">
        <f aca="false">IF((Panier_HT*$A24-H$22)&gt;0,ROUNDUP(Charges_fixes/(Panier_HT*$A24-H$22),0),"non rentable")</f>
        <v>1319</v>
      </c>
      <c r="I24" s="36" t="str">
        <f aca="false">IF((Panier_HT*$A24-I$22)&gt;0,ROUNDUP(Charges_fixes/(Panier_HT*$A24-I$22),0),"non rentable")</f>
        <v>non rentable</v>
      </c>
    </row>
    <row r="25" customFormat="false" ht="15" hidden="false" customHeight="false" outlineLevel="0" collapsed="false">
      <c r="A25" s="8" t="n">
        <v>0.15</v>
      </c>
      <c r="B25" s="36" t="n">
        <f aca="false">IF((Panier_HT*$A25-B$22)&gt;0,ROUNDUP(Charges_fixes/(Panier_HT*$A25-B$22),0),"non rentable")</f>
        <v>31</v>
      </c>
      <c r="C25" s="36" t="n">
        <f aca="false">IF((Panier_HT*$A25-C$22)&gt;0,ROUNDUP(Charges_fixes/(Panier_HT*$A25-C$22),0),"non rentable")</f>
        <v>44</v>
      </c>
      <c r="D25" s="36" t="n">
        <f aca="false">IF((Panier_HT*$A25-D$22)&gt;0,ROUNDUP(Charges_fixes/(Panier_HT*$A25-D$22),0),"non rentable")</f>
        <v>49</v>
      </c>
      <c r="E25" s="36" t="n">
        <f aca="false">IF((Panier_HT*$A25-E$22)&gt;0,ROUNDUP(Charges_fixes/(Panier_HT*$A25-E$22),0),"non rentable")</f>
        <v>56</v>
      </c>
      <c r="F25" s="36" t="n">
        <f aca="false">IF((Panier_HT*$A25-F$22)&gt;0,ROUNDUP(Charges_fixes/(Panier_HT*$A25-F$22),0),"non rentable")</f>
        <v>78</v>
      </c>
      <c r="G25" s="36" t="n">
        <f aca="false">IF((Panier_HT*$A25-G$22)&gt;0,ROUNDUP(Charges_fixes/(Panier_HT*$A25-G$22),0),"non rentable")</f>
        <v>126</v>
      </c>
      <c r="H25" s="36" t="n">
        <f aca="false">IF((Panier_HT*$A25-H$22)&gt;0,ROUNDUP(Charges_fixes/(Panier_HT*$A25-H$22),0),"non rentable")</f>
        <v>339</v>
      </c>
      <c r="I25" s="36" t="str">
        <f aca="false">IF((Panier_HT*$A25-I$22)&gt;0,ROUNDUP(Charges_fixes/(Panier_HT*$A25-I$22),0),"non rentable")</f>
        <v>non rentable</v>
      </c>
    </row>
    <row r="26" customFormat="false" ht="15" hidden="false" customHeight="false" outlineLevel="0" collapsed="false">
      <c r="A26" s="8" t="n">
        <v>0.16</v>
      </c>
      <c r="B26" s="36" t="n">
        <f aca="false">IF((Panier_HT*$A26-B$22)&gt;0,ROUNDUP(Charges_fixes/(Panier_HT*$A26-B$22),0),"non rentable")</f>
        <v>29</v>
      </c>
      <c r="C26" s="36" t="n">
        <f aca="false">IF((Panier_HT*$A26-C$22)&gt;0,ROUNDUP(Charges_fixes/(Panier_HT*$A26-C$22),0),"non rentable")</f>
        <v>40</v>
      </c>
      <c r="D26" s="36" t="n">
        <f aca="false">IF((Panier_HT*$A26-D$22)&gt;0,ROUNDUP(Charges_fixes/(Panier_HT*$A26-D$22),0),"non rentable")</f>
        <v>45</v>
      </c>
      <c r="E26" s="36" t="n">
        <f aca="false">IF((Panier_HT*$A26-E$22)&gt;0,ROUNDUP(Charges_fixes/(Panier_HT*$A26-E$22),0),"non rentable")</f>
        <v>50</v>
      </c>
      <c r="F26" s="36" t="n">
        <f aca="false">IF((Panier_HT*$A26-F$22)&gt;0,ROUNDUP(Charges_fixes/(Panier_HT*$A26-F$22),0),"non rentable")</f>
        <v>66</v>
      </c>
      <c r="G26" s="36" t="n">
        <f aca="false">IF((Panier_HT*$A26-G$22)&gt;0,ROUNDUP(Charges_fixes/(Panier_HT*$A26-G$22),0),"non rentable")</f>
        <v>99</v>
      </c>
      <c r="H26" s="36" t="n">
        <f aca="false">IF((Panier_HT*$A26-H$22)&gt;0,ROUNDUP(Charges_fixes/(Panier_HT*$A26-H$22),0),"non rentable")</f>
        <v>195</v>
      </c>
      <c r="I26" s="36" t="str">
        <f aca="false">IF((Panier_HT*$A26-I$22)&gt;0,ROUNDUP(Charges_fixes/(Panier_HT*$A26-I$22),0),"non rentable")</f>
        <v>non rentable</v>
      </c>
    </row>
    <row r="27" customFormat="false" ht="15" hidden="false" customHeight="false" outlineLevel="0" collapsed="false">
      <c r="A27" s="8" t="n">
        <v>0.18</v>
      </c>
      <c r="B27" s="36" t="n">
        <f aca="false">IF((Panier_HT*$A27-B$22)&gt;0,ROUNDUP(Charges_fixes/(Panier_HT*$A27-B$22),0),"non rentable")</f>
        <v>26</v>
      </c>
      <c r="C27" s="36" t="n">
        <f aca="false">IF((Panier_HT*$A27-C$22)&gt;0,ROUNDUP(Charges_fixes/(Panier_HT*$A27-C$22),0),"non rentable")</f>
        <v>34</v>
      </c>
      <c r="D27" s="36" t="n">
        <f aca="false">IF((Panier_HT*$A27-D$22)&gt;0,ROUNDUP(Charges_fixes/(Panier_HT*$A27-D$22),0),"non rentable")</f>
        <v>37</v>
      </c>
      <c r="E27" s="36" t="n">
        <f aca="false">IF((Panier_HT*$A27-E$22)&gt;0,ROUNDUP(Charges_fixes/(Panier_HT*$A27-E$22),0),"non rentable")</f>
        <v>41</v>
      </c>
      <c r="F27" s="36" t="n">
        <f aca="false">IF((Panier_HT*$A27-F$22)&gt;0,ROUNDUP(Charges_fixes/(Panier_HT*$A27-F$22),0),"non rentable")</f>
        <v>52</v>
      </c>
      <c r="G27" s="36" t="n">
        <f aca="false">IF((Panier_HT*$A27-G$22)&gt;0,ROUNDUP(Charges_fixes/(Panier_HT*$A27-G$22),0),"non rentable")</f>
        <v>69</v>
      </c>
      <c r="H27" s="36" t="n">
        <f aca="false">IF((Panier_HT*$A27-H$22)&gt;0,ROUNDUP(Charges_fixes/(Panier_HT*$A27-H$22),0),"non rentable")</f>
        <v>105</v>
      </c>
      <c r="I27" s="36" t="n">
        <f aca="false">IF((Panier_HT*$A27-I$22)&gt;0,ROUNDUP(Charges_fixes/(Panier_HT*$A27-I$22),0),"non rentable")</f>
        <v>489</v>
      </c>
    </row>
    <row r="28" customFormat="false" ht="15" hidden="false" customHeight="false" outlineLevel="0" collapsed="false">
      <c r="A28" s="8" t="n">
        <v>0.2</v>
      </c>
      <c r="B28" s="36" t="n">
        <f aca="false">IF((Panier_HT*$A28-B$22)&gt;0,ROUNDUP(Charges_fixes/(Panier_HT*$A28-B$22),0),"non rentable")</f>
        <v>23</v>
      </c>
      <c r="C28" s="36" t="n">
        <f aca="false">IF((Panier_HT*$A28-C$22)&gt;0,ROUNDUP(Charges_fixes/(Panier_HT*$A28-C$22),0),"non rentable")</f>
        <v>30</v>
      </c>
      <c r="D28" s="36" t="n">
        <f aca="false">IF((Panier_HT*$A28-D$22)&gt;0,ROUNDUP(Charges_fixes/(Panier_HT*$A28-D$22),0),"non rentable")</f>
        <v>32</v>
      </c>
      <c r="E28" s="36" t="n">
        <f aca="false">IF((Panier_HT*$A28-E$22)&gt;0,ROUNDUP(Charges_fixes/(Panier_HT*$A28-E$22),0),"non rentable")</f>
        <v>35</v>
      </c>
      <c r="F28" s="36" t="n">
        <f aca="false">IF((Panier_HT*$A28-F$22)&gt;0,ROUNDUP(Charges_fixes/(Panier_HT*$A28-F$22),0),"non rentable")</f>
        <v>42</v>
      </c>
      <c r="G28" s="36" t="n">
        <f aca="false">IF((Panier_HT*$A28-G$22)&gt;0,ROUNDUP(Charges_fixes/(Panier_HT*$A28-G$22),0),"non rentable")</f>
        <v>53</v>
      </c>
      <c r="H28" s="36" t="n">
        <f aca="false">IF((Panier_HT*$A28-H$22)&gt;0,ROUNDUP(Charges_fixes/(Panier_HT*$A28-H$22),0),"non rentable")</f>
        <v>72</v>
      </c>
      <c r="I28" s="36" t="n">
        <f aca="false">IF((Panier_HT*$A28-I$22)&gt;0,ROUNDUP(Charges_fixes/(Panier_HT*$A28-I$22),0),"non rentable")</f>
        <v>156</v>
      </c>
    </row>
    <row r="29" customFormat="false" ht="15" hidden="false" customHeight="false" outlineLevel="0" collapsed="false">
      <c r="A29" s="8" t="n">
        <v>0.22</v>
      </c>
      <c r="B29" s="36" t="n">
        <f aca="false">IF((Panier_HT*$A29-B$22)&gt;0,ROUNDUP(Charges_fixes/(Panier_HT*$A29-B$22),0),"non rentable")</f>
        <v>21</v>
      </c>
      <c r="C29" s="36" t="n">
        <f aca="false">IF((Panier_HT*$A29-C$22)&gt;0,ROUNDUP(Charges_fixes/(Panier_HT*$A29-C$22),0),"non rentable")</f>
        <v>27</v>
      </c>
      <c r="D29" s="36" t="n">
        <f aca="false">IF((Panier_HT*$A29-D$22)&gt;0,ROUNDUP(Charges_fixes/(Panier_HT*$A29-D$22),0),"non rentable")</f>
        <v>28</v>
      </c>
      <c r="E29" s="36" t="n">
        <f aca="false">IF((Panier_HT*$A29-E$22)&gt;0,ROUNDUP(Charges_fixes/(Panier_HT*$A29-E$22),0),"non rentable")</f>
        <v>30</v>
      </c>
      <c r="F29" s="36" t="n">
        <f aca="false">IF((Panier_HT*$A29-F$22)&gt;0,ROUNDUP(Charges_fixes/(Panier_HT*$A29-F$22),0),"non rentable")</f>
        <v>36</v>
      </c>
      <c r="G29" s="36" t="n">
        <f aca="false">IF((Panier_HT*$A29-G$22)&gt;0,ROUNDUP(Charges_fixes/(Panier_HT*$A29-G$22),0),"non rentable")</f>
        <v>43</v>
      </c>
      <c r="H29" s="36" t="n">
        <f aca="false">IF((Panier_HT*$A29-H$22)&gt;0,ROUNDUP(Charges_fixes/(Panier_HT*$A29-H$22),0),"non rentable")</f>
        <v>55</v>
      </c>
      <c r="I29" s="36" t="n">
        <f aca="false">IF((Panier_HT*$A29-I$22)&gt;0,ROUNDUP(Charges_fixes/(Panier_HT*$A29-I$22),0),"non rentable")</f>
        <v>93</v>
      </c>
    </row>
    <row r="30" customFormat="false" ht="15" hidden="false" customHeight="false" outlineLevel="0" collapsed="false">
      <c r="A30" s="8" t="n">
        <v>0.24</v>
      </c>
      <c r="B30" s="36" t="n">
        <f aca="false">IF((Panier_HT*$A30-B$22)&gt;0,ROUNDUP(Charges_fixes/(Panier_HT*$A30-B$22),0),"non rentable")</f>
        <v>19</v>
      </c>
      <c r="C30" s="36" t="n">
        <f aca="false">IF((Panier_HT*$A30-C$22)&gt;0,ROUNDUP(Charges_fixes/(Panier_HT*$A30-C$22),0),"non rentable")</f>
        <v>24</v>
      </c>
      <c r="D30" s="36" t="n">
        <f aca="false">IF((Panier_HT*$A30-D$22)&gt;0,ROUNDUP(Charges_fixes/(Panier_HT*$A30-D$22),0),"non rentable")</f>
        <v>25</v>
      </c>
      <c r="E30" s="36" t="n">
        <f aca="false">IF((Panier_HT*$A30-E$22)&gt;0,ROUNDUP(Charges_fixes/(Panier_HT*$A30-E$22),0),"non rentable")</f>
        <v>27</v>
      </c>
      <c r="F30" s="36" t="n">
        <f aca="false">IF((Panier_HT*$A30-F$22)&gt;0,ROUNDUP(Charges_fixes/(Panier_HT*$A30-F$22),0),"non rentable")</f>
        <v>31</v>
      </c>
      <c r="G30" s="36" t="n">
        <f aca="false">IF((Panier_HT*$A30-G$22)&gt;0,ROUNDUP(Charges_fixes/(Panier_HT*$A30-G$22),0),"non rentable")</f>
        <v>37</v>
      </c>
      <c r="H30" s="36" t="n">
        <f aca="false">IF((Panier_HT*$A30-H$22)&gt;0,ROUNDUP(Charges_fixes/(Panier_HT*$A30-H$22),0),"non rentable")</f>
        <v>44</v>
      </c>
      <c r="I30" s="36" t="n">
        <f aca="false">IF((Panier_HT*$A30-I$22)&gt;0,ROUNDUP(Charges_fixes/(Panier_HT*$A30-I$22),0),"non rentable")</f>
        <v>66</v>
      </c>
    </row>
    <row r="31" customFormat="false" ht="15" hidden="false" customHeight="false" outlineLevel="0" collapsed="false">
      <c r="A31" s="8" t="n">
        <v>0.26</v>
      </c>
      <c r="B31" s="36" t="n">
        <f aca="false">IF((Panier_HT*$A31-B$22)&gt;0,ROUNDUP(Charges_fixes/(Panier_HT*$A31-B$22),0),"non rentable")</f>
        <v>18</v>
      </c>
      <c r="C31" s="36" t="n">
        <f aca="false">IF((Panier_HT*$A31-C$22)&gt;0,ROUNDUP(Charges_fixes/(Panier_HT*$A31-C$22),0),"non rentable")</f>
        <v>22</v>
      </c>
      <c r="D31" s="36" t="n">
        <f aca="false">IF((Panier_HT*$A31-D$22)&gt;0,ROUNDUP(Charges_fixes/(Panier_HT*$A31-D$22),0),"non rentable")</f>
        <v>23</v>
      </c>
      <c r="E31" s="36" t="n">
        <f aca="false">IF((Panier_HT*$A31-E$22)&gt;0,ROUNDUP(Charges_fixes/(Panier_HT*$A31-E$22),0),"non rentable")</f>
        <v>24</v>
      </c>
      <c r="F31" s="36" t="n">
        <f aca="false">IF((Panier_HT*$A31-F$22)&gt;0,ROUNDUP(Charges_fixes/(Panier_HT*$A31-F$22),0),"non rentable")</f>
        <v>27</v>
      </c>
      <c r="G31" s="36" t="n">
        <f aca="false">IF((Panier_HT*$A31-G$22)&gt;0,ROUNDUP(Charges_fixes/(Panier_HT*$A31-G$22),0),"non rentable")</f>
        <v>32</v>
      </c>
      <c r="H31" s="36" t="n">
        <f aca="false">IF((Panier_HT*$A31-H$22)&gt;0,ROUNDUP(Charges_fixes/(Panier_HT*$A31-H$22),0),"non rentable")</f>
        <v>37</v>
      </c>
      <c r="I31" s="36" t="n">
        <f aca="false">IF((Panier_HT*$A31-I$22)&gt;0,ROUNDUP(Charges_fixes/(Panier_HT*$A31-I$22),0),"non rentable")</f>
        <v>51</v>
      </c>
    </row>
    <row r="33" customFormat="false" ht="15" hidden="false" customHeight="false" outlineLevel="0" collapsed="false">
      <c r="A33" s="4" t="s">
        <v>223</v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6" t="s">
        <v>222</v>
      </c>
      <c r="B34" s="11" t="n">
        <v>0</v>
      </c>
      <c r="C34" s="11" t="n">
        <v>4</v>
      </c>
      <c r="D34" s="11" t="n">
        <v>5</v>
      </c>
      <c r="E34" s="11" t="n">
        <v>6</v>
      </c>
      <c r="F34" s="11" t="n">
        <v>8</v>
      </c>
      <c r="G34" s="11" t="n">
        <v>10</v>
      </c>
      <c r="H34" s="11" t="n">
        <v>12</v>
      </c>
      <c r="I34" s="11" t="n">
        <v>15</v>
      </c>
    </row>
    <row r="35" customFormat="false" ht="15" hidden="false" customHeight="false" outlineLevel="0" collapsed="false">
      <c r="A35" s="8" t="n">
        <v>0.12</v>
      </c>
      <c r="B35" s="36" t="n">
        <f aca="false">IF((Panier_HT*$A35-B$34)&gt;0,ROUNDUP((Charges_fixes+Remuneration)/(Panier_HT*$A35-B$34),0),"non rentable")</f>
        <v>228</v>
      </c>
      <c r="C35" s="36" t="n">
        <f aca="false">IF((Panier_HT*$A35-C$34)&gt;0,ROUNDUP((Charges_fixes+Remuneration)/(Panier_HT*$A35-C$34),0),"non rentable")</f>
        <v>367</v>
      </c>
      <c r="D35" s="36" t="n">
        <f aca="false">IF((Panier_HT*$A35-D$34)&gt;0,ROUNDUP((Charges_fixes+Remuneration)/(Panier_HT*$A35-D$34),0),"non rentable")</f>
        <v>433</v>
      </c>
      <c r="E35" s="36" t="n">
        <f aca="false">IF((Panier_HT*$A35-E$34)&gt;0,ROUNDUP((Charges_fixes+Remuneration)/(Panier_HT*$A35-E$34),0),"non rentable")</f>
        <v>528</v>
      </c>
      <c r="F35" s="36" t="n">
        <f aca="false">IF((Panier_HT*$A35-F$34)&gt;0,ROUNDUP((Charges_fixes+Remuneration)/(Panier_HT*$A35-F$34),0),"non rentable")</f>
        <v>943</v>
      </c>
      <c r="G35" s="36" t="n">
        <f aca="false">IF((Panier_HT*$A35-G$34)&gt;0,ROUNDUP((Charges_fixes+Remuneration)/(Panier_HT*$A35-G$34),0),"non rentable")</f>
        <v>4398</v>
      </c>
      <c r="H35" s="36" t="str">
        <f aca="false">IF((Panier_HT*$A35-H$34)&gt;0,ROUNDUP((Charges_fixes+Remuneration)/(Panier_HT*$A35-H$34),0),"non rentable")</f>
        <v>non rentable</v>
      </c>
      <c r="I35" s="36" t="str">
        <f aca="false">IF((Panier_HT*$A35-I$34)&gt;0,ROUNDUP((Charges_fixes+Remuneration)/(Panier_HT*$A35-I$34),0),"non rentable")</f>
        <v>non rentable</v>
      </c>
    </row>
    <row r="36" customFormat="false" ht="15" hidden="false" customHeight="false" outlineLevel="0" collapsed="false">
      <c r="A36" s="8" t="n">
        <v>0.14</v>
      </c>
      <c r="B36" s="36" t="n">
        <f aca="false">IF((Panier_HT*$A36-B$34)&gt;0,ROUNDUP((Charges_fixes+Remuneration)/(Panier_HT*$A36-B$34),0),"non rentable")</f>
        <v>196</v>
      </c>
      <c r="C36" s="36" t="n">
        <f aca="false">IF((Panier_HT*$A36-C$34)&gt;0,ROUNDUP((Charges_fixes+Remuneration)/(Panier_HT*$A36-C$34),0),"non rentable")</f>
        <v>290</v>
      </c>
      <c r="D36" s="36" t="n">
        <f aca="false">IF((Panier_HT*$A36-D$34)&gt;0,ROUNDUP((Charges_fixes+Remuneration)/(Panier_HT*$A36-D$34),0),"non rentable")</f>
        <v>329</v>
      </c>
      <c r="E36" s="36" t="n">
        <f aca="false">IF((Panier_HT*$A36-E$34)&gt;0,ROUNDUP((Charges_fixes+Remuneration)/(Panier_HT*$A36-E$34),0),"non rentable")</f>
        <v>381</v>
      </c>
      <c r="F36" s="36" t="n">
        <f aca="false">IF((Panier_HT*$A36-F$34)&gt;0,ROUNDUP((Charges_fixes+Remuneration)/(Panier_HT*$A36-F$34),0),"non rentable")</f>
        <v>558</v>
      </c>
      <c r="G36" s="36" t="n">
        <f aca="false">IF((Panier_HT*$A36-G$34)&gt;0,ROUNDUP((Charges_fixes+Remuneration)/(Panier_HT*$A36-G$34),0),"non rentable")</f>
        <v>1042</v>
      </c>
      <c r="H36" s="36" t="n">
        <f aca="false">IF((Panier_HT*$A36-H$34)&gt;0,ROUNDUP((Charges_fixes+Remuneration)/(Panier_HT*$A36-H$34),0),"non rentable")</f>
        <v>7910</v>
      </c>
      <c r="I36" s="36" t="str">
        <f aca="false">IF((Panier_HT*$A36-I$34)&gt;0,ROUNDUP((Charges_fixes+Remuneration)/(Panier_HT*$A36-I$34),0),"non rentable")</f>
        <v>non rentable</v>
      </c>
    </row>
    <row r="37" customFormat="false" ht="15" hidden="false" customHeight="false" outlineLevel="0" collapsed="false">
      <c r="A37" s="8" t="n">
        <v>0.15</v>
      </c>
      <c r="B37" s="36" t="n">
        <f aca="false">IF((Panier_HT*$A37-B$34)&gt;0,ROUNDUP((Charges_fixes+Remuneration)/(Panier_HT*$A37-B$34),0),"non rentable")</f>
        <v>183</v>
      </c>
      <c r="C37" s="36" t="n">
        <f aca="false">IF((Panier_HT*$A37-C$34)&gt;0,ROUNDUP((Charges_fixes+Remuneration)/(Panier_HT*$A37-C$34),0),"non rentable")</f>
        <v>262</v>
      </c>
      <c r="D37" s="36" t="n">
        <f aca="false">IF((Panier_HT*$A37-D$34)&gt;0,ROUNDUP((Charges_fixes+Remuneration)/(Panier_HT*$A37-D$34),0),"non rentable")</f>
        <v>294</v>
      </c>
      <c r="E37" s="36" t="n">
        <f aca="false">IF((Panier_HT*$A37-E$34)&gt;0,ROUNDUP((Charges_fixes+Remuneration)/(Panier_HT*$A37-E$34),0),"non rentable")</f>
        <v>335</v>
      </c>
      <c r="F37" s="36" t="n">
        <f aca="false">IF((Panier_HT*$A37-F$34)&gt;0,ROUNDUP((Charges_fixes+Remuneration)/(Panier_HT*$A37-F$34),0),"non rentable")</f>
        <v>464</v>
      </c>
      <c r="G37" s="36" t="n">
        <f aca="false">IF((Panier_HT*$A37-G$34)&gt;0,ROUNDUP((Charges_fixes+Remuneration)/(Panier_HT*$A37-G$34),0),"non rentable")</f>
        <v>755</v>
      </c>
      <c r="H37" s="36" t="n">
        <f aca="false">IF((Panier_HT*$A37-H$34)&gt;0,ROUNDUP((Charges_fixes+Remuneration)/(Panier_HT*$A37-H$34),0),"non rentable")</f>
        <v>2031</v>
      </c>
      <c r="I37" s="36" t="str">
        <f aca="false">IF((Panier_HT*$A37-I$34)&gt;0,ROUNDUP((Charges_fixes+Remuneration)/(Panier_HT*$A37-I$34),0),"non rentable")</f>
        <v>non rentable</v>
      </c>
    </row>
    <row r="38" customFormat="false" ht="15" hidden="false" customHeight="false" outlineLevel="0" collapsed="false">
      <c r="A38" s="8" t="n">
        <v>0.16</v>
      </c>
      <c r="B38" s="36" t="n">
        <f aca="false">IF((Panier_HT*$A38-B$34)&gt;0,ROUNDUP((Charges_fixes+Remuneration)/(Panier_HT*$A38-B$34),0),"non rentable")</f>
        <v>171</v>
      </c>
      <c r="C38" s="36" t="n">
        <f aca="false">IF((Panier_HT*$A38-C$34)&gt;0,ROUNDUP((Charges_fixes+Remuneration)/(Panier_HT*$A38-C$34),0),"non rentable")</f>
        <v>239</v>
      </c>
      <c r="D38" s="36" t="n">
        <f aca="false">IF((Panier_HT*$A38-D$34)&gt;0,ROUNDUP((Charges_fixes+Remuneration)/(Panier_HT*$A38-D$34),0),"non rentable")</f>
        <v>265</v>
      </c>
      <c r="E38" s="36" t="n">
        <f aca="false">IF((Panier_HT*$A38-E$34)&gt;0,ROUNDUP((Charges_fixes+Remuneration)/(Panier_HT*$A38-E$34),0),"non rentable")</f>
        <v>298</v>
      </c>
      <c r="F38" s="36" t="n">
        <f aca="false">IF((Panier_HT*$A38-F$34)&gt;0,ROUNDUP((Charges_fixes+Remuneration)/(Panier_HT*$A38-F$34),0),"non rentable")</f>
        <v>396</v>
      </c>
      <c r="G38" s="36" t="n">
        <f aca="false">IF((Panier_HT*$A38-G$34)&gt;0,ROUNDUP((Charges_fixes+Remuneration)/(Panier_HT*$A38-G$34),0),"non rentable")</f>
        <v>591</v>
      </c>
      <c r="H38" s="36" t="n">
        <f aca="false">IF((Panier_HT*$A38-H$34)&gt;0,ROUNDUP((Charges_fixes+Remuneration)/(Panier_HT*$A38-H$34),0),"non rentable")</f>
        <v>1165</v>
      </c>
      <c r="I38" s="36" t="str">
        <f aca="false">IF((Panier_HT*$A38-I$34)&gt;0,ROUNDUP((Charges_fixes+Remuneration)/(Panier_HT*$A38-I$34),0),"non rentable")</f>
        <v>non rentable</v>
      </c>
    </row>
    <row r="39" customFormat="false" ht="15" hidden="false" customHeight="false" outlineLevel="0" collapsed="false">
      <c r="A39" s="8" t="n">
        <v>0.18</v>
      </c>
      <c r="B39" s="36" t="n">
        <f aca="false">IF((Panier_HT*$A39-B$34)&gt;0,ROUNDUP((Charges_fixes+Remuneration)/(Panier_HT*$A39-B$34),0),"non rentable")</f>
        <v>152</v>
      </c>
      <c r="C39" s="36" t="n">
        <f aca="false">IF((Panier_HT*$A39-C$34)&gt;0,ROUNDUP((Charges_fixes+Remuneration)/(Panier_HT*$A39-C$34),0),"non rentable")</f>
        <v>204</v>
      </c>
      <c r="D39" s="36" t="n">
        <f aca="false">IF((Panier_HT*$A39-D$34)&gt;0,ROUNDUP((Charges_fixes+Remuneration)/(Panier_HT*$A39-D$34),0),"non rentable")</f>
        <v>222</v>
      </c>
      <c r="E39" s="36" t="n">
        <f aca="false">IF((Panier_HT*$A39-E$34)&gt;0,ROUNDUP((Charges_fixes+Remuneration)/(Panier_HT*$A39-E$34),0),"non rentable")</f>
        <v>245</v>
      </c>
      <c r="F39" s="36" t="n">
        <f aca="false">IF((Panier_HT*$A39-F$34)&gt;0,ROUNDUP((Charges_fixes+Remuneration)/(Panier_HT*$A39-F$34),0),"non rentable")</f>
        <v>307</v>
      </c>
      <c r="G39" s="36" t="n">
        <f aca="false">IF((Panier_HT*$A39-G$34)&gt;0,ROUNDUP((Charges_fixes+Remuneration)/(Panier_HT*$A39-G$34),0),"non rentable")</f>
        <v>413</v>
      </c>
      <c r="H39" s="36" t="n">
        <f aca="false">IF((Panier_HT*$A39-H$34)&gt;0,ROUNDUP((Charges_fixes+Remuneration)/(Panier_HT*$A39-H$34),0),"non rentable")</f>
        <v>629</v>
      </c>
      <c r="I39" s="36" t="n">
        <f aca="false">IF((Panier_HT*$A39-I$34)&gt;0,ROUNDUP((Charges_fixes+Remuneration)/(Panier_HT*$A39-I$34),0),"non rentable")</f>
        <v>2932</v>
      </c>
    </row>
    <row r="40" customFormat="false" ht="15" hidden="false" customHeight="false" outlineLevel="0" collapsed="false">
      <c r="A40" s="8" t="n">
        <v>0.2</v>
      </c>
      <c r="B40" s="36" t="n">
        <f aca="false">IF((Panier_HT*$A40-B$34)&gt;0,ROUNDUP((Charges_fixes+Remuneration)/(Panier_HT*$A40-B$34),0),"non rentable")</f>
        <v>137</v>
      </c>
      <c r="C40" s="36" t="n">
        <f aca="false">IF((Panier_HT*$A40-C$34)&gt;0,ROUNDUP((Charges_fixes+Remuneration)/(Panier_HT*$A40-C$34),0),"non rentable")</f>
        <v>177</v>
      </c>
      <c r="D40" s="36" t="n">
        <f aca="false">IF((Panier_HT*$A40-D$34)&gt;0,ROUNDUP((Charges_fixes+Remuneration)/(Panier_HT*$A40-D$34),0),"non rentable")</f>
        <v>191</v>
      </c>
      <c r="E40" s="36" t="n">
        <f aca="false">IF((Panier_HT*$A40-E$34)&gt;0,ROUNDUP((Charges_fixes+Remuneration)/(Panier_HT*$A40-E$34),0),"non rentable")</f>
        <v>208</v>
      </c>
      <c r="F40" s="36" t="n">
        <f aca="false">IF((Panier_HT*$A40-F$34)&gt;0,ROUNDUP((Charges_fixes+Remuneration)/(Panier_HT*$A40-F$34),0),"non rentable")</f>
        <v>251</v>
      </c>
      <c r="G40" s="36" t="n">
        <f aca="false">IF((Panier_HT*$A40-G$34)&gt;0,ROUNDUP((Charges_fixes+Remuneration)/(Panier_HT*$A40-G$34),0),"non rentable")</f>
        <v>317</v>
      </c>
      <c r="H40" s="36" t="n">
        <f aca="false">IF((Panier_HT*$A40-H$34)&gt;0,ROUNDUP((Charges_fixes+Remuneration)/(Panier_HT*$A40-H$34),0),"non rentable")</f>
        <v>431</v>
      </c>
      <c r="I40" s="36" t="n">
        <f aca="false">IF((Panier_HT*$A40-I$34)&gt;0,ROUNDUP((Charges_fixes+Remuneration)/(Panier_HT*$A40-I$34),0),"non rentable")</f>
        <v>932</v>
      </c>
    </row>
    <row r="41" customFormat="false" ht="15" hidden="false" customHeight="false" outlineLevel="0" collapsed="false">
      <c r="A41" s="8" t="n">
        <v>0.22</v>
      </c>
      <c r="B41" s="36" t="n">
        <f aca="false">IF((Panier_HT*$A41-B$34)&gt;0,ROUNDUP((Charges_fixes+Remuneration)/(Panier_HT*$A41-B$34),0),"non rentable")</f>
        <v>125</v>
      </c>
      <c r="C41" s="36" t="n">
        <f aca="false">IF((Panier_HT*$A41-C$34)&gt;0,ROUNDUP((Charges_fixes+Remuneration)/(Panier_HT*$A41-C$34),0),"non rentable")</f>
        <v>157</v>
      </c>
      <c r="D41" s="36" t="n">
        <f aca="false">IF((Panier_HT*$A41-D$34)&gt;0,ROUNDUP((Charges_fixes+Remuneration)/(Panier_HT*$A41-D$34),0),"non rentable")</f>
        <v>168</v>
      </c>
      <c r="E41" s="36" t="n">
        <f aca="false">IF((Panier_HT*$A41-E$34)&gt;0,ROUNDUP((Charges_fixes+Remuneration)/(Panier_HT*$A41-E$34),0),"non rentable")</f>
        <v>180</v>
      </c>
      <c r="F41" s="36" t="n">
        <f aca="false">IF((Panier_HT*$A41-F$34)&gt;0,ROUNDUP((Charges_fixes+Remuneration)/(Panier_HT*$A41-F$34),0),"non rentable")</f>
        <v>212</v>
      </c>
      <c r="G41" s="36" t="n">
        <f aca="false">IF((Panier_HT*$A41-G$34)&gt;0,ROUNDUP((Charges_fixes+Remuneration)/(Panier_HT*$A41-G$34),0),"non rentable")</f>
        <v>258</v>
      </c>
      <c r="H41" s="36" t="n">
        <f aca="false">IF((Panier_HT*$A41-H$34)&gt;0,ROUNDUP((Charges_fixes+Remuneration)/(Panier_HT*$A41-H$34),0),"non rentable")</f>
        <v>328</v>
      </c>
      <c r="I41" s="36" t="n">
        <f aca="false">IF((Panier_HT*$A41-I$34)&gt;0,ROUNDUP((Charges_fixes+Remuneration)/(Panier_HT*$A41-I$34),0),"non rentable")</f>
        <v>554</v>
      </c>
    </row>
    <row r="42" customFormat="false" ht="15" hidden="false" customHeight="false" outlineLevel="0" collapsed="false">
      <c r="A42" s="8" t="n">
        <v>0.24</v>
      </c>
      <c r="B42" s="36" t="n">
        <f aca="false">IF((Panier_HT*$A42-B$34)&gt;0,ROUNDUP((Charges_fixes+Remuneration)/(Panier_HT*$A42-B$34),0),"non rentable")</f>
        <v>114</v>
      </c>
      <c r="C42" s="36" t="n">
        <f aca="false">IF((Panier_HT*$A42-C$34)&gt;0,ROUNDUP((Charges_fixes+Remuneration)/(Panier_HT*$A42-C$34),0),"non rentable")</f>
        <v>141</v>
      </c>
      <c r="D42" s="36" t="n">
        <f aca="false">IF((Panier_HT*$A42-D$34)&gt;0,ROUNDUP((Charges_fixes+Remuneration)/(Panier_HT*$A42-D$34),0),"non rentable")</f>
        <v>150</v>
      </c>
      <c r="E42" s="36" t="n">
        <f aca="false">IF((Panier_HT*$A42-E$34)&gt;0,ROUNDUP((Charges_fixes+Remuneration)/(Panier_HT*$A42-E$34),0),"non rentable")</f>
        <v>160</v>
      </c>
      <c r="F42" s="36" t="n">
        <f aca="false">IF((Panier_HT*$A42-F$34)&gt;0,ROUNDUP((Charges_fixes+Remuneration)/(Panier_HT*$A42-F$34),0),"non rentable")</f>
        <v>184</v>
      </c>
      <c r="G42" s="36" t="n">
        <f aca="false">IF((Panier_HT*$A42-G$34)&gt;0,ROUNDUP((Charges_fixes+Remuneration)/(Panier_HT*$A42-G$34),0),"non rentable")</f>
        <v>217</v>
      </c>
      <c r="H42" s="36" t="n">
        <f aca="false">IF((Panier_HT*$A42-H$34)&gt;0,ROUNDUP((Charges_fixes+Remuneration)/(Panier_HT*$A42-H$34),0),"non rentable")</f>
        <v>264</v>
      </c>
      <c r="I42" s="36" t="n">
        <f aca="false">IF((Panier_HT*$A42-I$34)&gt;0,ROUNDUP((Charges_fixes+Remuneration)/(Panier_HT*$A42-I$34),0),"non rentable")</f>
        <v>394</v>
      </c>
    </row>
    <row r="43" customFormat="false" ht="15" hidden="false" customHeight="false" outlineLevel="0" collapsed="false">
      <c r="A43" s="8" t="n">
        <v>0.26</v>
      </c>
      <c r="B43" s="36" t="n">
        <f aca="false">IF((Panier_HT*$A43-B$34)&gt;0,ROUNDUP((Charges_fixes+Remuneration)/(Panier_HT*$A43-B$34),0),"non rentable")</f>
        <v>106</v>
      </c>
      <c r="C43" s="36" t="n">
        <f aca="false">IF((Panier_HT*$A43-C$34)&gt;0,ROUNDUP((Charges_fixes+Remuneration)/(Panier_HT*$A43-C$34),0),"non rentable")</f>
        <v>128</v>
      </c>
      <c r="D43" s="36" t="n">
        <f aca="false">IF((Panier_HT*$A43-D$34)&gt;0,ROUNDUP((Charges_fixes+Remuneration)/(Panier_HT*$A43-D$34),0),"non rentable")</f>
        <v>135</v>
      </c>
      <c r="E43" s="36" t="n">
        <f aca="false">IF((Panier_HT*$A43-E$34)&gt;0,ROUNDUP((Charges_fixes+Remuneration)/(Panier_HT*$A43-E$34),0),"non rentable")</f>
        <v>143</v>
      </c>
      <c r="F43" s="36" t="n">
        <f aca="false">IF((Panier_HT*$A43-F$34)&gt;0,ROUNDUP((Charges_fixes+Remuneration)/(Panier_HT*$A43-F$34),0),"non rentable")</f>
        <v>162</v>
      </c>
      <c r="G43" s="36" t="n">
        <f aca="false">IF((Panier_HT*$A43-G$34)&gt;0,ROUNDUP((Charges_fixes+Remuneration)/(Panier_HT*$A43-G$34),0),"non rentable")</f>
        <v>187</v>
      </c>
      <c r="H43" s="36" t="n">
        <f aca="false">IF((Panier_HT*$A43-H$34)&gt;0,ROUNDUP((Charges_fixes+Remuneration)/(Panier_HT*$A43-H$34),0),"non rentable")</f>
        <v>222</v>
      </c>
      <c r="I43" s="36" t="n">
        <f aca="false">IF((Panier_HT*$A43-I$34)&gt;0,ROUNDUP((Charges_fixes+Remuneration)/(Panier_HT*$A43-I$34),0),"non rentable")</f>
        <v>306</v>
      </c>
    </row>
  </sheetData>
  <conditionalFormatting sqref="F17:F18">
    <cfRule type="expression" priority="2" aboveAverage="0" equalAverage="0" bottom="0" percent="0" rank="0" text="" dxfId="0">
      <formula>LEFT(F17,3)="NON"</formula>
    </cfRule>
  </conditionalFormatting>
  <conditionalFormatting sqref="B23:I31">
    <cfRule type="expression" priority="3" aboveAverage="0" equalAverage="0" bottom="0" percent="0" rank="0" text="" dxfId="1">
      <formula>(Panier_HT*$A23-B$22)&lt;Plancher_CHF</formula>
    </cfRule>
  </conditionalFormatting>
  <conditionalFormatting sqref="B35:I43">
    <cfRule type="expression" priority="4" aboveAverage="0" equalAverage="0" bottom="0" percent="0" rank="0" text="" dxfId="1">
      <formula>(Panier_HT*$A35-B$34)&lt;Plancher_CHF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4" customFormat="false" ht="23.85" hidden="false" customHeight="false" outlineLevel="0" collapsed="false">
      <c r="A4" s="6" t="s">
        <v>4</v>
      </c>
      <c r="B4" s="6" t="s">
        <v>226</v>
      </c>
      <c r="C4" s="6" t="s">
        <v>227</v>
      </c>
      <c r="D4" s="6" t="s">
        <v>6</v>
      </c>
      <c r="E4" s="6" t="s">
        <v>68</v>
      </c>
    </row>
    <row r="5" customFormat="false" ht="15" hidden="false" customHeight="false" outlineLevel="0" collapsed="false">
      <c r="A5" s="7" t="s">
        <v>228</v>
      </c>
      <c r="B5" s="11" t="n">
        <v>140</v>
      </c>
      <c r="C5" s="12" t="n">
        <f aca="false">B5</f>
        <v>140</v>
      </c>
      <c r="D5" s="7" t="s">
        <v>18</v>
      </c>
      <c r="E5" s="7" t="s">
        <v>229</v>
      </c>
    </row>
    <row r="6" customFormat="false" ht="15" hidden="false" customHeight="false" outlineLevel="0" collapsed="false">
      <c r="A6" s="7" t="s">
        <v>230</v>
      </c>
      <c r="B6" s="8" t="n">
        <v>0</v>
      </c>
      <c r="C6" s="27" t="n">
        <f aca="false">TVA</f>
        <v>0.081</v>
      </c>
      <c r="D6" s="7" t="s">
        <v>10</v>
      </c>
      <c r="E6" s="7" t="s">
        <v>231</v>
      </c>
    </row>
    <row r="7" customFormat="false" ht="15" hidden="false" customHeight="false" outlineLevel="0" collapsed="false">
      <c r="A7" s="7" t="s">
        <v>232</v>
      </c>
      <c r="B7" s="12" t="n">
        <f aca="false">B5*(1+B6)</f>
        <v>140</v>
      </c>
      <c r="C7" s="12" t="n">
        <f aca="false">C5*(1+C6)</f>
        <v>151.34</v>
      </c>
      <c r="D7" s="7" t="s">
        <v>18</v>
      </c>
      <c r="E7" s="7" t="s">
        <v>233</v>
      </c>
    </row>
    <row r="8" customFormat="false" ht="15" hidden="false" customHeight="false" outlineLevel="0" collapsed="false">
      <c r="A8" s="7" t="s">
        <v>234</v>
      </c>
      <c r="B8" s="8" t="n">
        <v>0.025</v>
      </c>
      <c r="C8" s="27" t="n">
        <f aca="false">B8</f>
        <v>0.025</v>
      </c>
      <c r="D8" s="7" t="s">
        <v>235</v>
      </c>
      <c r="E8" s="7" t="s">
        <v>236</v>
      </c>
    </row>
    <row r="9" customFormat="false" ht="15" hidden="false" customHeight="false" outlineLevel="0" collapsed="false">
      <c r="A9" s="7" t="s">
        <v>237</v>
      </c>
      <c r="B9" s="11" t="n">
        <v>0.3</v>
      </c>
      <c r="C9" s="12" t="n">
        <f aca="false">B9</f>
        <v>0.3</v>
      </c>
      <c r="D9" s="7" t="s">
        <v>18</v>
      </c>
      <c r="E9" s="7" t="s">
        <v>236</v>
      </c>
    </row>
    <row r="10" customFormat="false" ht="15" hidden="false" customHeight="false" outlineLevel="0" collapsed="false">
      <c r="A10" s="7" t="s">
        <v>238</v>
      </c>
      <c r="B10" s="11" t="n">
        <v>3</v>
      </c>
      <c r="C10" s="12" t="n">
        <f aca="false">B10</f>
        <v>3</v>
      </c>
      <c r="D10" s="7" t="s">
        <v>18</v>
      </c>
      <c r="E10" s="7" t="s">
        <v>236</v>
      </c>
    </row>
    <row r="11" customFormat="false" ht="15" hidden="false" customHeight="false" outlineLevel="0" collapsed="false">
      <c r="A11" s="7" t="s">
        <v>239</v>
      </c>
      <c r="B11" s="11" t="n">
        <v>1</v>
      </c>
      <c r="C11" s="12" t="n">
        <f aca="false">B11</f>
        <v>1</v>
      </c>
      <c r="D11" s="7" t="s">
        <v>18</v>
      </c>
      <c r="E11" s="7" t="s">
        <v>236</v>
      </c>
    </row>
    <row r="12" customFormat="false" ht="15" hidden="false" customHeight="false" outlineLevel="0" collapsed="false">
      <c r="A12" s="7" t="s">
        <v>240</v>
      </c>
      <c r="B12" s="11" t="n">
        <v>5</v>
      </c>
      <c r="C12" s="12" t="n">
        <f aca="false">B12</f>
        <v>5</v>
      </c>
      <c r="D12" s="7" t="s">
        <v>18</v>
      </c>
      <c r="E12" s="7" t="s">
        <v>236</v>
      </c>
    </row>
    <row r="13" customFormat="false" ht="15" hidden="false" customHeight="false" outlineLevel="0" collapsed="false">
      <c r="A13" s="7" t="s">
        <v>241</v>
      </c>
      <c r="B13" s="8" t="n">
        <v>0.2</v>
      </c>
      <c r="C13" s="27" t="n">
        <f aca="false">B13</f>
        <v>0.2</v>
      </c>
      <c r="D13" s="7" t="s">
        <v>242</v>
      </c>
      <c r="E13" s="7" t="s">
        <v>243</v>
      </c>
    </row>
    <row r="14" customFormat="false" ht="15" hidden="false" customHeight="false" outlineLevel="0" collapsed="false">
      <c r="A14" s="7" t="s">
        <v>244</v>
      </c>
      <c r="B14" s="27" t="n">
        <f aca="false">TVA</f>
        <v>0.081</v>
      </c>
      <c r="C14" s="8" t="n">
        <v>0</v>
      </c>
      <c r="D14" s="7" t="s">
        <v>10</v>
      </c>
      <c r="E14" s="7" t="s">
        <v>236</v>
      </c>
    </row>
    <row r="15" customFormat="false" ht="15" hidden="false" customHeight="false" outlineLevel="0" collapsed="false">
      <c r="A15" s="7" t="s">
        <v>245</v>
      </c>
      <c r="B15" s="12" t="n">
        <f aca="false">B7+B9+B10+B11+B12</f>
        <v>149.3</v>
      </c>
      <c r="C15" s="12" t="n">
        <f aca="false">C7+C9+C10+C11+C12</f>
        <v>160.64</v>
      </c>
    </row>
    <row r="16" customFormat="false" ht="15" hidden="false" customHeight="false" outlineLevel="0" collapsed="false">
      <c r="A16" s="7" t="s">
        <v>246</v>
      </c>
      <c r="B16" s="37" t="n">
        <f aca="false">(1-B13)/(1+B14)-B8</f>
        <v>0.715055504162812</v>
      </c>
      <c r="C16" s="37" t="n">
        <f aca="false">(1-C13)/(1+C14)-C8</f>
        <v>0.775</v>
      </c>
    </row>
    <row r="17" customFormat="false" ht="15" hidden="false" customHeight="false" outlineLevel="0" collapsed="false">
      <c r="A17" s="7" t="s">
        <v>247</v>
      </c>
      <c r="B17" s="30" t="n">
        <f aca="false">IF(B16&gt;0,B15/B16,"dénominateur ≤ 0 : marge impossible")</f>
        <v>208.794980432744</v>
      </c>
      <c r="C17" s="30" t="n">
        <f aca="false">IF(C16&gt;0,C15/C16,"dénominateur ≤ 0 : marge impossible")</f>
        <v>207.277419354839</v>
      </c>
    </row>
    <row r="18" customFormat="false" ht="15" hidden="false" customHeight="false" outlineLevel="0" collapsed="false">
      <c r="A18" s="17" t="s">
        <v>248</v>
      </c>
      <c r="B18" s="38" t="n">
        <f aca="false">ROUND(B17,2)</f>
        <v>208.79</v>
      </c>
      <c r="C18" s="38" t="n">
        <f aca="false">ROUND(C17,2)</f>
        <v>207.28</v>
      </c>
    </row>
    <row r="19" customFormat="false" ht="15" hidden="false" customHeight="false" outlineLevel="0" collapsed="false">
      <c r="A19" s="7" t="s">
        <v>249</v>
      </c>
      <c r="B19" s="11" t="n">
        <v>10</v>
      </c>
      <c r="C19" s="12" t="n">
        <f aca="false">B19</f>
        <v>10</v>
      </c>
    </row>
    <row r="20" customFormat="false" ht="15" hidden="false" customHeight="false" outlineLevel="0" collapsed="false">
      <c r="A20" s="7" t="s">
        <v>250</v>
      </c>
      <c r="B20" s="11" t="n">
        <v>9.9</v>
      </c>
      <c r="C20" s="12" t="n">
        <f aca="false">B20</f>
        <v>9.9</v>
      </c>
    </row>
    <row r="21" customFormat="false" ht="15" hidden="false" customHeight="false" outlineLevel="0" collapsed="false">
      <c r="A21" s="17" t="s">
        <v>251</v>
      </c>
      <c r="B21" s="38" t="n">
        <f aca="false">ROUNDUP((B17-B20)/B19,0)*B19+B20</f>
        <v>209.9</v>
      </c>
      <c r="C21" s="38" t="n">
        <f aca="false">ROUNDUP((C17-C20)/C19,0)*C19+C20</f>
        <v>209.9</v>
      </c>
    </row>
    <row r="22" customFormat="false" ht="15" hidden="false" customHeight="false" outlineLevel="0" collapsed="false">
      <c r="A22" s="7" t="s">
        <v>252</v>
      </c>
      <c r="B22" s="12" t="n">
        <f aca="false">ROUNDUP((B17-0.9)/1,0)*1+0.9</f>
        <v>208.9</v>
      </c>
      <c r="C22" s="12" t="n">
        <f aca="false">ROUNDUP((C17-0.9)/1,0)*1+0.9</f>
        <v>207.9</v>
      </c>
      <c r="E22" s="16" t="s">
        <v>253</v>
      </c>
    </row>
    <row r="23" customFormat="false" ht="15" hidden="false" customHeight="false" outlineLevel="0" collapsed="false">
      <c r="A23" s="7" t="s">
        <v>254</v>
      </c>
      <c r="B23" s="31" t="n">
        <v>208.79</v>
      </c>
      <c r="C23" s="31" t="n">
        <v>207.28</v>
      </c>
    </row>
    <row r="24" customFormat="false" ht="15" hidden="false" customHeight="false" outlineLevel="0" collapsed="false">
      <c r="A24" s="7" t="s">
        <v>255</v>
      </c>
      <c r="B24" s="31" t="n">
        <v>209.9</v>
      </c>
      <c r="C24" s="9" t="s">
        <v>256</v>
      </c>
    </row>
    <row r="25" customFormat="false" ht="15" hidden="false" customHeight="false" outlineLevel="0" collapsed="false">
      <c r="A25" s="17" t="s">
        <v>195</v>
      </c>
      <c r="B25" s="17" t="str">
        <f aca="false">IF(AND(B18=B23,ROUND(B21,2)=B24),"OK — conforme BP","ÉCART")</f>
        <v>OK — conforme BP</v>
      </c>
      <c r="C25" s="17" t="str">
        <f aca="false">IF(C18=C23,"OK — conforme BP","ÉCART")</f>
        <v>OK — conforme BP</v>
      </c>
    </row>
    <row r="27" customFormat="false" ht="15" hidden="false" customHeight="false" outlineLevel="0" collapsed="false">
      <c r="A27" s="4" t="s">
        <v>257</v>
      </c>
      <c r="B27" s="5"/>
      <c r="C27" s="5"/>
      <c r="D27" s="5"/>
      <c r="E27" s="5"/>
    </row>
    <row r="28" customFormat="false" ht="15" hidden="false" customHeight="false" outlineLevel="0" collapsed="false">
      <c r="A28" s="6" t="s">
        <v>145</v>
      </c>
      <c r="B28" s="6" t="s">
        <v>258</v>
      </c>
      <c r="C28" s="6" t="s">
        <v>259</v>
      </c>
      <c r="D28" s="6" t="s">
        <v>260</v>
      </c>
      <c r="E28" s="6" t="s">
        <v>261</v>
      </c>
    </row>
    <row r="29" customFormat="false" ht="15" hidden="false" customHeight="false" outlineLevel="0" collapsed="false">
      <c r="A29" s="7" t="s">
        <v>262</v>
      </c>
      <c r="B29" s="11" t="n">
        <v>199.9</v>
      </c>
      <c r="C29" s="12" t="n">
        <f aca="false">B21</f>
        <v>209.9</v>
      </c>
      <c r="D29" s="31" t="n">
        <v>199.9</v>
      </c>
    </row>
    <row r="30" customFormat="false" ht="15" hidden="false" customHeight="false" outlineLevel="0" collapsed="false">
      <c r="A30" s="7" t="s">
        <v>263</v>
      </c>
      <c r="B30" s="12" t="n">
        <f aca="false">B29/(1+$B$14)</f>
        <v>184.921369102683</v>
      </c>
      <c r="C30" s="12" t="n">
        <f aca="false">C29/(1+$B$14)</f>
        <v>194.172062904718</v>
      </c>
      <c r="D30" s="31" t="n">
        <v>184.92</v>
      </c>
      <c r="E30" s="7" t="str">
        <f aca="false">IF(ROUND(B30,2)=D30,"OK","ÉCART")</f>
        <v>OK</v>
      </c>
    </row>
    <row r="31" customFormat="false" ht="15" hidden="false" customHeight="false" outlineLevel="0" collapsed="false">
      <c r="A31" s="7" t="s">
        <v>264</v>
      </c>
      <c r="B31" s="12" t="n">
        <f aca="false">$B$8*B29+$B$9</f>
        <v>5.2975</v>
      </c>
      <c r="C31" s="12" t="n">
        <f aca="false">$B$8*C29+$B$9</f>
        <v>5.5475</v>
      </c>
      <c r="D31" s="31" t="n">
        <v>5.3</v>
      </c>
      <c r="E31" s="7" t="str">
        <f aca="false">IF(ROUND(B31,2)=D31,"OK","ÉCART")</f>
        <v>OK</v>
      </c>
    </row>
    <row r="32" customFormat="false" ht="15" hidden="false" customHeight="false" outlineLevel="0" collapsed="false">
      <c r="A32" s="7" t="s">
        <v>265</v>
      </c>
      <c r="B32" s="12" t="n">
        <f aca="false">B30-$B$7-B31-$B$10-$B$11-$B$12</f>
        <v>30.6238691026827</v>
      </c>
      <c r="C32" s="12" t="n">
        <f aca="false">C30-$B$7-C31-$B$10-$B$11-$B$12</f>
        <v>39.6245629047179</v>
      </c>
      <c r="D32" s="31" t="n">
        <v>30.62</v>
      </c>
      <c r="E32" s="7" t="str">
        <f aca="false">IF(ROUND(B32,2)=D32,"OK","ÉCART")</f>
        <v>OK</v>
      </c>
    </row>
    <row r="33" customFormat="false" ht="15" hidden="false" customHeight="false" outlineLevel="0" collapsed="false">
      <c r="A33" s="7" t="s">
        <v>266</v>
      </c>
      <c r="B33" s="39" t="n">
        <f aca="false">B32/B30</f>
        <v>0.165604814907454</v>
      </c>
      <c r="C33" s="39" t="n">
        <f aca="false">C32/C30</f>
        <v>0.204069330633635</v>
      </c>
      <c r="D33" s="40" t="n">
        <v>0.1656</v>
      </c>
      <c r="E33" s="7" t="str">
        <f aca="false">IF(ROUND(B33,4)=D33,"OK","ÉCART")</f>
        <v>OK</v>
      </c>
    </row>
    <row r="34" customFormat="false" ht="15" hidden="false" customHeight="false" outlineLevel="0" collapsed="false">
      <c r="A34" s="7" t="s">
        <v>267</v>
      </c>
      <c r="B34" s="7" t="str">
        <f aca="false">IF(B33&gt;=$B$13,"oui","NON — sous la cible")</f>
        <v>NON — sous la cible</v>
      </c>
      <c r="C34" s="7" t="str">
        <f aca="false">IF(C33&gt;=$B$13,"oui","NON — sous la cible")</f>
        <v>oui</v>
      </c>
    </row>
    <row r="35" customFormat="false" ht="15" hidden="false" customHeight="false" outlineLevel="0" collapsed="false">
      <c r="A35" s="7" t="s">
        <v>268</v>
      </c>
      <c r="B35" s="7" t="str">
        <f aca="false">IF(AND(B33&gt;=Plancher_pct,B32&gt;=Plancher_CHF),"oui","NON — blocage")</f>
        <v>oui</v>
      </c>
      <c r="C35" s="7" t="str">
        <f aca="false">IF(AND(C33&gt;=Plancher_pct,C32&gt;=Plancher_CHF),"oui","NON — blocage")</f>
        <v>oui</v>
      </c>
    </row>
  </sheetData>
  <conditionalFormatting sqref="B34:C35">
    <cfRule type="expression" priority="2" aboveAverage="0" equalAverage="0" bottom="0" percent="0" rank="0" text="" dxfId="0">
      <formula>LEFT(B34,3)="NON"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7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2" t="s">
        <v>270</v>
      </c>
    </row>
    <row r="4" customFormat="false" ht="15" hidden="false" customHeight="false" outlineLevel="0" collapsed="false">
      <c r="A4" s="4" t="s">
        <v>271</v>
      </c>
      <c r="B4" s="5"/>
      <c r="C4" s="5"/>
      <c r="D4" s="5"/>
      <c r="E4" s="5"/>
    </row>
    <row r="5" customFormat="false" ht="15" hidden="false" customHeight="false" outlineLevel="0" collapsed="false">
      <c r="A5" s="6" t="s">
        <v>145</v>
      </c>
      <c r="B5" s="6" t="s">
        <v>65</v>
      </c>
      <c r="C5" s="6" t="s">
        <v>66</v>
      </c>
      <c r="D5" s="6" t="s">
        <v>67</v>
      </c>
      <c r="E5" s="6" t="s">
        <v>6</v>
      </c>
    </row>
    <row r="6" customFormat="false" ht="15" hidden="false" customHeight="false" outlineLevel="0" collapsed="false">
      <c r="A6" s="7" t="s">
        <v>272</v>
      </c>
      <c r="B6" s="25" t="n">
        <f aca="false">Hypothèses!B27</f>
        <v>40</v>
      </c>
      <c r="C6" s="25" t="n">
        <f aca="false">Hypothèses!C27</f>
        <v>100</v>
      </c>
      <c r="D6" s="25" t="n">
        <f aca="false">Hypothèses!D27</f>
        <v>200</v>
      </c>
      <c r="E6" s="9" t="s">
        <v>273</v>
      </c>
    </row>
    <row r="7" customFormat="false" ht="15" hidden="false" customHeight="false" outlineLevel="0" collapsed="false">
      <c r="A7" s="7" t="s">
        <v>274</v>
      </c>
      <c r="B7" s="20" t="n">
        <f aca="false">B6*Panier_HT</f>
        <v>3515.26364477336</v>
      </c>
      <c r="C7" s="20" t="n">
        <f aca="false">C6*Panier_HT</f>
        <v>8788.1591119334</v>
      </c>
      <c r="D7" s="20" t="n">
        <f aca="false">D6*Panier_HT</f>
        <v>17576.3182238668</v>
      </c>
      <c r="E7" s="9" t="s">
        <v>29</v>
      </c>
    </row>
    <row r="8" customFormat="false" ht="15" hidden="false" customHeight="false" outlineLevel="0" collapsed="false">
      <c r="A8" s="7" t="s">
        <v>35</v>
      </c>
      <c r="B8" s="27" t="n">
        <f aca="false">Cout_produit_pct</f>
        <v>0.7</v>
      </c>
      <c r="C8" s="27" t="n">
        <f aca="false">Cout_produit_pct</f>
        <v>0.7</v>
      </c>
      <c r="D8" s="27" t="n">
        <f aca="false">Cout_produit_pct</f>
        <v>0.7</v>
      </c>
      <c r="E8" s="9" t="s">
        <v>10</v>
      </c>
    </row>
    <row r="9" customFormat="false" ht="15" hidden="false" customHeight="false" outlineLevel="0" collapsed="false">
      <c r="A9" s="7" t="s">
        <v>275</v>
      </c>
      <c r="B9" s="20" t="n">
        <f aca="false">B7*B8</f>
        <v>2460.68455134135</v>
      </c>
      <c r="C9" s="20" t="n">
        <f aca="false">C7*C8</f>
        <v>6151.71137835338</v>
      </c>
      <c r="D9" s="20" t="n">
        <f aca="false">D7*D8</f>
        <v>12303.4227567068</v>
      </c>
      <c r="E9" s="9" t="s">
        <v>29</v>
      </c>
    </row>
    <row r="10" customFormat="false" ht="15" hidden="false" customHeight="false" outlineLevel="0" collapsed="false">
      <c r="A10" s="7" t="s">
        <v>276</v>
      </c>
      <c r="B10" s="20" t="n">
        <f aca="false">Stock_initial</f>
        <v>3000</v>
      </c>
      <c r="C10" s="20" t="n">
        <f aca="false">Stock_initial</f>
        <v>3000</v>
      </c>
      <c r="D10" s="20" t="n">
        <f aca="false">Stock_initial</f>
        <v>3000</v>
      </c>
      <c r="E10" s="9" t="s">
        <v>18</v>
      </c>
    </row>
    <row r="11" customFormat="false" ht="15" hidden="false" customHeight="false" outlineLevel="0" collapsed="false">
      <c r="A11" s="7" t="s">
        <v>277</v>
      </c>
      <c r="B11" s="27" t="n">
        <f aca="false">IF(B9&gt;0,B10/B9,0)</f>
        <v>1.21917293233083</v>
      </c>
      <c r="C11" s="27" t="n">
        <f aca="false">IF(C9&gt;0,C10/C9,0)</f>
        <v>0.487669172932331</v>
      </c>
      <c r="D11" s="27" t="n">
        <f aca="false">IF(D9&gt;0,D10/D9,0)</f>
        <v>0.243834586466165</v>
      </c>
      <c r="E11" s="9" t="s">
        <v>10</v>
      </c>
    </row>
    <row r="12" customFormat="false" ht="15" hidden="false" customHeight="false" outlineLevel="0" collapsed="false">
      <c r="A12" s="7" t="s">
        <v>278</v>
      </c>
      <c r="B12" s="24" t="n">
        <f aca="false">B11*Jours_mois</f>
        <v>36.5751879699248</v>
      </c>
      <c r="C12" s="24" t="n">
        <f aca="false">C11*Jours_mois</f>
        <v>14.6300751879699</v>
      </c>
      <c r="D12" s="24" t="n">
        <f aca="false">D11*Jours_mois</f>
        <v>7.31503759398496</v>
      </c>
      <c r="E12" s="9" t="s">
        <v>279</v>
      </c>
    </row>
    <row r="13" customFormat="false" ht="15" hidden="false" customHeight="false" outlineLevel="0" collapsed="false">
      <c r="A13" s="7" t="s">
        <v>280</v>
      </c>
      <c r="B13" s="20" t="n">
        <f aca="false">MAX(0,B9-B10)</f>
        <v>0</v>
      </c>
      <c r="C13" s="20" t="n">
        <f aca="false">MAX(0,C9-C10)</f>
        <v>3151.71137835338</v>
      </c>
      <c r="D13" s="20" t="n">
        <f aca="false">MAX(0,D9-D10)</f>
        <v>9303.42275670675</v>
      </c>
      <c r="E13" s="9" t="s">
        <v>18</v>
      </c>
    </row>
    <row r="14" customFormat="false" ht="15" hidden="false" customHeight="false" outlineLevel="0" collapsed="false">
      <c r="A14" s="7" t="s">
        <v>281</v>
      </c>
      <c r="C14" s="19" t="n">
        <v>6152</v>
      </c>
      <c r="D14" s="7" t="str">
        <f aca="false">IF(ROUND(C9,0)=C14,"OK — conforme BP","ÉCART")</f>
        <v>OK — conforme BP</v>
      </c>
    </row>
    <row r="16" customFormat="false" ht="15" hidden="false" customHeight="false" outlineLevel="0" collapsed="false">
      <c r="A16" s="4" t="s">
        <v>282</v>
      </c>
      <c r="B16" s="5"/>
      <c r="C16" s="5"/>
      <c r="D16" s="5"/>
      <c r="E16" s="5"/>
    </row>
    <row r="17" customFormat="false" ht="15" hidden="false" customHeight="false" outlineLevel="0" collapsed="false">
      <c r="A17" s="6" t="s">
        <v>145</v>
      </c>
      <c r="B17" s="6" t="s">
        <v>65</v>
      </c>
      <c r="C17" s="6" t="s">
        <v>66</v>
      </c>
      <c r="D17" s="6" t="s">
        <v>67</v>
      </c>
      <c r="E17" s="6" t="s">
        <v>22</v>
      </c>
    </row>
    <row r="18" customFormat="false" ht="15" hidden="false" customHeight="false" outlineLevel="0" collapsed="false">
      <c r="A18" s="7" t="s">
        <v>283</v>
      </c>
      <c r="B18" s="12" t="n">
        <f aca="false">B9/Jours_mois</f>
        <v>82.022818378045</v>
      </c>
      <c r="C18" s="12" t="n">
        <f aca="false">C9/Jours_mois</f>
        <v>205.057045945113</v>
      </c>
      <c r="D18" s="12" t="n">
        <f aca="false">D9/Jours_mois</f>
        <v>410.114091890225</v>
      </c>
      <c r="E18" s="9" t="s">
        <v>284</v>
      </c>
    </row>
    <row r="19" customFormat="false" ht="15" hidden="false" customHeight="false" outlineLevel="0" collapsed="false">
      <c r="A19" s="7" t="s">
        <v>285</v>
      </c>
      <c r="B19" s="12" t="n">
        <f aca="false">B6*Panier_TTC/Jours_mois</f>
        <v>126.666666666667</v>
      </c>
      <c r="C19" s="12" t="n">
        <f aca="false">C6*Panier_TTC/Jours_mois</f>
        <v>316.666666666667</v>
      </c>
      <c r="D19" s="12" t="n">
        <f aca="false">D6*Panier_TTC/Jours_mois</f>
        <v>633.333333333333</v>
      </c>
      <c r="E19" s="9" t="s">
        <v>286</v>
      </c>
    </row>
    <row r="20" customFormat="false" ht="15" hidden="false" customHeight="false" outlineLevel="0" collapsed="false">
      <c r="A20" s="7" t="s">
        <v>287</v>
      </c>
      <c r="B20" s="20" t="n">
        <f aca="false">B18*(Delai_prepaiement+Jours_stock)</f>
        <v>3609.00400863398</v>
      </c>
      <c r="C20" s="20" t="n">
        <f aca="false">C18*(Delai_prepaiement+Jours_stock)</f>
        <v>9022.51002158495</v>
      </c>
      <c r="D20" s="20" t="n">
        <f aca="false">D18*(Delai_prepaiement+Jours_stock)</f>
        <v>18045.0200431699</v>
      </c>
      <c r="E20" s="9" t="s">
        <v>288</v>
      </c>
    </row>
    <row r="21" customFormat="false" ht="15" hidden="false" customHeight="false" outlineLevel="0" collapsed="false">
      <c r="A21" s="7" t="s">
        <v>289</v>
      </c>
      <c r="B21" s="20" t="n">
        <f aca="false">B19*Delai_PSP</f>
        <v>886.666666666667</v>
      </c>
      <c r="C21" s="20" t="n">
        <f aca="false">C19*Delai_PSP</f>
        <v>2216.66666666667</v>
      </c>
      <c r="D21" s="20" t="n">
        <f aca="false">D19*Delai_PSP</f>
        <v>4433.33333333333</v>
      </c>
      <c r="E21" s="9" t="s">
        <v>290</v>
      </c>
    </row>
    <row r="22" customFormat="false" ht="15" hidden="false" customHeight="false" outlineLevel="0" collapsed="false">
      <c r="A22" s="7" t="s">
        <v>291</v>
      </c>
      <c r="B22" s="20" t="n">
        <f aca="false">B18*Credit_fournisseur</f>
        <v>0</v>
      </c>
      <c r="C22" s="20" t="n">
        <f aca="false">C18*Credit_fournisseur</f>
        <v>0</v>
      </c>
      <c r="D22" s="20" t="n">
        <f aca="false">D18*Credit_fournisseur</f>
        <v>0</v>
      </c>
      <c r="E22" s="9" t="s">
        <v>292</v>
      </c>
    </row>
    <row r="23" customFormat="false" ht="15" hidden="false" customHeight="false" outlineLevel="0" collapsed="false">
      <c r="A23" s="17" t="s">
        <v>293</v>
      </c>
      <c r="B23" s="18" t="n">
        <f aca="false">B20+B21-B22</f>
        <v>4495.67067530065</v>
      </c>
      <c r="C23" s="18" t="n">
        <f aca="false">C20+C21-C22</f>
        <v>11239.1766882516</v>
      </c>
      <c r="D23" s="18" t="n">
        <f aca="false">D20+D21-D22</f>
        <v>22478.3533765032</v>
      </c>
      <c r="E23" s="9" t="s">
        <v>294</v>
      </c>
    </row>
    <row r="24" customFormat="false" ht="15" hidden="false" customHeight="false" outlineLevel="0" collapsed="false">
      <c r="A24" s="7" t="s">
        <v>295</v>
      </c>
      <c r="B24" s="13" t="n">
        <f aca="false">Stock_initial+'Budget initial'!B11</f>
        <v>4600</v>
      </c>
      <c r="C24" s="13" t="n">
        <f aca="false">Stock_initial+'Budget initial'!B11</f>
        <v>4600</v>
      </c>
      <c r="D24" s="13" t="n">
        <f aca="false">Stock_initial+'Budget initial'!B11</f>
        <v>4600</v>
      </c>
      <c r="E24" s="9" t="s">
        <v>296</v>
      </c>
    </row>
    <row r="25" customFormat="false" ht="15" hidden="false" customHeight="false" outlineLevel="0" collapsed="false">
      <c r="A25" s="17" t="s">
        <v>297</v>
      </c>
      <c r="B25" s="18" t="n">
        <f aca="false">MAX(0,B23-B24)</f>
        <v>0</v>
      </c>
      <c r="C25" s="18" t="n">
        <f aca="false">MAX(0,C23-C24)</f>
        <v>6639.17668825162</v>
      </c>
      <c r="D25" s="18" t="n">
        <f aca="false">MAX(0,D23-D24)</f>
        <v>17878.3533765032</v>
      </c>
      <c r="E25" s="9" t="s">
        <v>298</v>
      </c>
    </row>
    <row r="27" customFormat="false" ht="27.75" hidden="false" customHeight="true" outlineLevel="0" collapsed="false">
      <c r="A27" s="3" t="s">
        <v>299</v>
      </c>
      <c r="B27" s="3"/>
      <c r="C27" s="3"/>
      <c r="D27" s="3"/>
      <c r="E27" s="3"/>
    </row>
  </sheetData>
  <mergeCells count="1">
    <mergeCell ref="A27:E27"/>
  </mergeCells>
  <conditionalFormatting sqref="B25:D25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2026-10-04T20:48:40Z</dcterms:created>
  <dc:creator>openpyxl</dc:creator>
  <dc:description/>
  <dc:language>en-US</dc:language>
  <cp:lastModifiedBy/>
  <dcterms:modified xsi:type="dcterms:W3CDTF">2026-10-04T20:48:40Z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