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 d'emploi" sheetId="1" state="visible" r:id="rId3"/>
    <sheet name="Exemple FICTIF" sheetId="2" state="visible" r:id="rId4"/>
    <sheet name="À rempli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<sst xmlns="http://schemas.openxmlformats.org/spreadsheetml/2006/main" count="161" uniqueCount="94">
  <si>
    <t xml:space="preserve">Trésorerie glissante 13 semaines — mode d'emploi</t>
  </si>
  <si>
    <t xml:space="preserve">BP §3 : distinguer ventes, résultat et cash ; garder une réserve pour les précommandes.</t>
  </si>
  <si>
    <t xml:space="preserve">1.</t>
  </si>
  <si>
    <t xml:space="preserve">Chaque lundi, dupliquer la feuille « À remplir » (ou repartir de la précédente), mettre la date du lundi en B5 et le solde bancaire réel en B6.</t>
  </si>
  <si>
    <t xml:space="preserve">2.</t>
  </si>
  <si>
    <t xml:space="preserve">Saisir uniquement les cellules jaunes : ventes encaissées et nombre de commandes, précommandes (seulement sur allocation ferme), achats engagés (commandes fournisseur signées) et prévus, TVA, livraisons, remboursements, publicité, charges fixes, dépenses de lancement.</t>
  </si>
  <si>
    <t xml:space="preserve">3.</t>
  </si>
  <si>
    <t xml:space="preserve">Les versements PSP sont calculés : ventes TTC − frais (r × montant + b × commandes), décalés du délai B10. Saisir en ligne 25 les versements attendus des ventes faites avant la semaine 1.</t>
  </si>
  <si>
    <t xml:space="preserve">4.</t>
  </si>
  <si>
    <t xml:space="preserve">Réserve précommandes = précommandes encaissées − livrées − remboursées. Ce montant n'est pas disponible pour un nouvel achat (BP §3).</t>
  </si>
  <si>
    <t xml:space="preserve">5.</t>
  </si>
  <si>
    <t xml:space="preserve">Alerte (ligne 49) : SOLDE NÉGATIF, SOUS RÉSERVE MINI (solde &lt; B7), PRÉCOMMANDES NON COUVERTES (solde − réserve précommandes − réserve mini &lt; 0). Toute alerte bloque les achats « prévus » jusqu'à arbitrage.</t>
  </si>
  <si>
    <t xml:space="preserve">6.</t>
  </si>
  <si>
    <t xml:space="preserve">La feuille « Exemple FICTIF » illustre le plan 90 jours du BP §9 avec des montants inventés : ne jamais l'utiliser comme prévision.</t>
  </si>
  <si>
    <t xml:space="preserve">7.</t>
  </si>
  <si>
    <t xml:space="preserve">Le moteur Python pokeshop.treasury (plan_from_weekly_inputs + build_forecast) reproduit exactement ces calculs pour le tableau de bord et les tests.</t>
  </si>
  <si>
    <t xml:space="preserve">Légende</t>
  </si>
  <si>
    <t xml:space="preserve">Cellule d'entrée (texte bleu sur fond jaune)</t>
  </si>
  <si>
    <t xml:space="preserve">Formule (texte noir) — ne pas écraser</t>
  </si>
  <si>
    <t xml:space="preserve">Alerte de trésorerie</t>
  </si>
  <si>
    <t xml:space="preserve">Validation humaine requise</t>
  </si>
  <si>
    <t xml:space="preserve">☐</t>
  </si>
  <si>
    <t xml:space="preserve">Montant de la réserve minimale (B7) et règle d'arbitrage en cas d'alerte.</t>
  </si>
  <si>
    <t xml:space="preserve">Délai réel de versement et frais du PSP (contrat, paiements tests carte et TWINT).</t>
  </si>
  <si>
    <t xml:space="preserve">Périodicité et échéances du décompte TVA (fiduciaire).</t>
  </si>
  <si>
    <t xml:space="preserve">Conditions de paiement fournisseur (prépaiement ou terme) avant tout achat engagé.</t>
  </si>
  <si>
    <t xml:space="preserve">EXEMPLE FICTIF — trésorerie 13 semaines (aucun chiffre réel)</t>
  </si>
  <si>
    <t xml:space="preserve">Montants inventés pour illustrer le plan 90 jours du BP §9. Ne pas utiliser comme prévision.</t>
  </si>
  <si>
    <t xml:space="preserve">Légende : cellules jaunes à texte bleu = entrées à modifier ; texte noir = formules (ne pas écraser) ; texte vert = lien vers une autre feuille ; orange = alerte de trésorerie.</t>
  </si>
  <si>
    <t xml:space="preserve">Paramètres</t>
  </si>
  <si>
    <t xml:space="preserve">Lundi de la semaine 1</t>
  </si>
  <si>
    <t xml:space="preserve">Date de départ du prévisionnel glissant</t>
  </si>
  <si>
    <t xml:space="preserve">Solde bancaire d'ouverture (CHF)</t>
  </si>
  <si>
    <t xml:space="preserve">Relevé bancaire du jour</t>
  </si>
  <si>
    <t xml:space="preserve">Réserve minimale (CHF)</t>
  </si>
  <si>
    <t xml:space="preserve">Plancher à ne pas franchir — décision de la responsable</t>
  </si>
  <si>
    <t xml:space="preserve">Frais PSP proportionnels</t>
  </si>
  <si>
    <t xml:space="preserve">BP §4 : 2,5 % (hypothèse) — contrat PSP</t>
  </si>
  <si>
    <t xml:space="preserve">Frais PSP fixes par commande (CHF)</t>
  </si>
  <si>
    <t xml:space="preserve">BP §4 : 0,30 (hypothèse)</t>
  </si>
  <si>
    <t xml:space="preserve">Délai de versement PSP (semaines, 0 à 4)</t>
  </si>
  <si>
    <t xml:space="preserve">HYPOTHÈSE — à mesurer lors des paiements tests</t>
  </si>
  <si>
    <t xml:space="preserve">Taux TVA ventes (estimation du décompte)</t>
  </si>
  <si>
    <t xml:space="preserve">BP §4 : 8,1 %</t>
  </si>
  <si>
    <t xml:space="preserve">Réserve précommandes à l'ouverture (CHF)</t>
  </si>
  <si>
    <t xml:space="preserve">Précommandes encaissées non livrées au départ</t>
  </si>
  <si>
    <t xml:space="preserve">VENTES (saisie)</t>
  </si>
  <si>
    <t xml:space="preserve">Semaine</t>
  </si>
  <si>
    <t xml:space="preserve">Total 13 sem.</t>
  </si>
  <si>
    <t xml:space="preserve">Du</t>
  </si>
  <si>
    <t xml:space="preserve">Au</t>
  </si>
  <si>
    <t xml:space="preserve">Ventes encaissées TTC (hors précommandes)</t>
  </si>
  <si>
    <t xml:space="preserve">Nombre de commandes</t>
  </si>
  <si>
    <t xml:space="preserve">Précommandes encaissées TTC (allocation ferme uniquement)</t>
  </si>
  <si>
    <t xml:space="preserve">Nombre de précommandes</t>
  </si>
  <si>
    <t xml:space="preserve">Frais PSP</t>
  </si>
  <si>
    <t xml:space="preserve">Net à verser par le PSP</t>
  </si>
  <si>
    <t xml:space="preserve">ENCAISSEMENTS</t>
  </si>
  <si>
    <t xml:space="preserve">Versements PSP des ventes (décalés)</t>
  </si>
  <si>
    <t xml:space="preserve">Versements PSP en transit d'avant la semaine 1</t>
  </si>
  <si>
    <t xml:space="preserve">Autres encaissements (apport, prêt)</t>
  </si>
  <si>
    <t xml:space="preserve">Total encaissements</t>
  </si>
  <si>
    <t xml:space="preserve">DÉCAISSEMENTS</t>
  </si>
  <si>
    <t xml:space="preserve">Achats de stock engagés (commandes fermes)</t>
  </si>
  <si>
    <t xml:space="preserve">Achats de stock prévus (non engagés)</t>
  </si>
  <si>
    <t xml:space="preserve">TVA (décompte AFC)</t>
  </si>
  <si>
    <t xml:space="preserve">Livraisons (transporteur, étiquettes)</t>
  </si>
  <si>
    <t xml:space="preserve">Remboursements clients</t>
  </si>
  <si>
    <t xml:space="preserve">Remboursements de précommandes</t>
  </si>
  <si>
    <t xml:space="preserve">Publicité</t>
  </si>
  <si>
    <t xml:space="preserve">Charges fixes (site, compta, divers)</t>
  </si>
  <si>
    <t xml:space="preserve">Dépenses de lancement (budget initial)</t>
  </si>
  <si>
    <t xml:space="preserve">Autres décaissements</t>
  </si>
  <si>
    <t xml:space="preserve">Total décaissements</t>
  </si>
  <si>
    <t xml:space="preserve">SOLDE</t>
  </si>
  <si>
    <t xml:space="preserve">Solde d'ouverture</t>
  </si>
  <si>
    <t xml:space="preserve">Variation nette de la semaine</t>
  </si>
  <si>
    <t xml:space="preserve">Solde de clôture</t>
  </si>
  <si>
    <t xml:space="preserve">RÉSERVES ET ALERTE</t>
  </si>
  <si>
    <t xml:space="preserve">Précommandes livrées (réserve libérée, TTC)</t>
  </si>
  <si>
    <t xml:space="preserve">Réserve précommandes (fin de semaine)</t>
  </si>
  <si>
    <t xml:space="preserve">Réserve minimale</t>
  </si>
  <si>
    <t xml:space="preserve">Disponible pour de nouveaux achats</t>
  </si>
  <si>
    <t xml:space="preserve">Alerte</t>
  </si>
  <si>
    <t xml:space="preserve">SYNTHÈSE</t>
  </si>
  <si>
    <t xml:space="preserve">Solde de clôture le plus bas</t>
  </si>
  <si>
    <t xml:space="preserve">Semaine du solde le plus bas</t>
  </si>
  <si>
    <t xml:space="preserve">Nombre de semaines en alerte</t>
  </si>
  <si>
    <t xml:space="preserve">Versements PSP en transit à la fin de l'horizon</t>
  </si>
  <si>
    <t xml:space="preserve">Frais PSP sur 13 semaines</t>
  </si>
  <si>
    <t xml:space="preserve">TVA contenue dans les ventes encaissées (estimation)</t>
  </si>
  <si>
    <t xml:space="preserve">Hors impôt préalable déductible : le décompte réel est établi avec la fiduciaire.</t>
  </si>
  <si>
    <t xml:space="preserve">Trésorerie 13 semaines — {{NOM_BOUTIQUE}}</t>
  </si>
  <si>
    <t xml:space="preserve">Saisir les cellules jaunes chaque lundi. Montants en CHF.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</si>
</sst>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dd\.mm\.yyyy"/>
    <numFmt numFmtId="167" formatCode="0.00%"/>
    <numFmt numFmtId="168" formatCode="0"/>
    <numFmt numFmtId="169" formatCode="0.0%"/>
    <numFmt numFmtId="170" formatCode="#,##0.00;[RED]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1F3A5F"/>
        <bgColor rgb="FF333333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</row>
    <row r="13" customFormat="false" ht="15" hidden="false" customHeight="false" outlineLevel="0" collapsed="false">
      <c r="A13" s="6"/>
      <c r="B13" s="7" t="s">
        <v>17</v>
      </c>
    </row>
    <row r="14" customFormat="false" ht="15" hidden="false" customHeight="false" outlineLevel="0" collapsed="false">
      <c r="A14" s="8" t="n">
        <v>1234.5</v>
      </c>
      <c r="B14" s="7" t="s">
        <v>18</v>
      </c>
    </row>
    <row r="15" customFormat="false" ht="15" hidden="false" customHeight="false" outlineLevel="0" collapsed="false">
      <c r="A15" s="9"/>
      <c r="B15" s="7" t="s">
        <v>19</v>
      </c>
    </row>
    <row r="17" customFormat="false" ht="15" hidden="false" customHeight="false" outlineLevel="0" collapsed="false">
      <c r="A17" s="5" t="s">
        <v>20</v>
      </c>
    </row>
    <row r="18" customFormat="false" ht="15" hidden="false" customHeight="false" outlineLevel="0" collapsed="false">
      <c r="A18" s="10" t="s">
        <v>21</v>
      </c>
      <c r="B18" s="4" t="s">
        <v>22</v>
      </c>
    </row>
    <row r="19" customFormat="false" ht="15" hidden="false" customHeight="false" outlineLevel="0" collapsed="false">
      <c r="A19" s="10" t="s">
        <v>21</v>
      </c>
      <c r="B19" s="4" t="s">
        <v>23</v>
      </c>
    </row>
    <row r="20" customFormat="false" ht="15" hidden="false" customHeight="false" outlineLevel="0" collapsed="false">
      <c r="A20" s="10" t="s">
        <v>21</v>
      </c>
      <c r="B20" s="4" t="s">
        <v>24</v>
      </c>
    </row>
    <row r="21" customFormat="false" ht="15" hidden="false" customHeight="false" outlineLevel="0" collapsed="false">
      <c r="A21" s="10" t="s">
        <v>21</v>
      </c>
      <c r="B21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15" min="3" style="0" width="12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25.5" hidden="false" customHeight="true" outlineLevel="0" collapsed="false">
      <c r="A3" s="11" t="s">
        <v>28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15" hidden="false" customHeight="false" outlineLevel="0" collapsed="false">
      <c r="A4" s="12" t="s">
        <v>29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5" hidden="false" customHeight="false" outlineLevel="0" collapsed="false">
      <c r="A5" s="14" t="s">
        <v>30</v>
      </c>
      <c r="B5" s="15" t="n">
        <v>46300</v>
      </c>
      <c r="C5" s="2" t="s">
        <v>31</v>
      </c>
    </row>
    <row r="6" customFormat="false" ht="15" hidden="false" customHeight="false" outlineLevel="0" collapsed="false">
      <c r="A6" s="14" t="s">
        <v>32</v>
      </c>
      <c r="B6" s="16" t="n">
        <v>8000</v>
      </c>
      <c r="C6" s="2" t="s">
        <v>33</v>
      </c>
    </row>
    <row r="7" customFormat="false" ht="15" hidden="false" customHeight="false" outlineLevel="0" collapsed="false">
      <c r="A7" s="14" t="s">
        <v>34</v>
      </c>
      <c r="B7" s="16" t="n">
        <v>500</v>
      </c>
      <c r="C7" s="2" t="s">
        <v>35</v>
      </c>
    </row>
    <row r="8" customFormat="false" ht="15" hidden="false" customHeight="false" outlineLevel="0" collapsed="false">
      <c r="A8" s="14" t="s">
        <v>36</v>
      </c>
      <c r="B8" s="17" t="n">
        <v>0.025</v>
      </c>
      <c r="C8" s="2" t="s">
        <v>37</v>
      </c>
    </row>
    <row r="9" customFormat="false" ht="15" hidden="false" customHeight="false" outlineLevel="0" collapsed="false">
      <c r="A9" s="14" t="s">
        <v>38</v>
      </c>
      <c r="B9" s="16" t="n">
        <v>0.3</v>
      </c>
      <c r="C9" s="2" t="s">
        <v>39</v>
      </c>
    </row>
    <row r="10" customFormat="false" ht="15" hidden="false" customHeight="false" outlineLevel="0" collapsed="false">
      <c r="A10" s="14" t="s">
        <v>40</v>
      </c>
      <c r="B10" s="18" t="n">
        <v>1</v>
      </c>
      <c r="C10" s="2" t="s">
        <v>41</v>
      </c>
    </row>
    <row r="11" customFormat="false" ht="15" hidden="false" customHeight="false" outlineLevel="0" collapsed="false">
      <c r="A11" s="14" t="s">
        <v>42</v>
      </c>
      <c r="B11" s="19" t="n">
        <v>0.081</v>
      </c>
      <c r="C11" s="2" t="s">
        <v>43</v>
      </c>
    </row>
    <row r="12" customFormat="false" ht="15" hidden="false" customHeight="false" outlineLevel="0" collapsed="false">
      <c r="A12" s="14" t="s">
        <v>44</v>
      </c>
      <c r="B12" s="16" t="n">
        <v>0</v>
      </c>
      <c r="C12" s="2" t="s">
        <v>45</v>
      </c>
    </row>
    <row r="13" customFormat="false" ht="15" hidden="false" customHeight="false" outlineLevel="0" collapsed="false">
      <c r="A13" s="12" t="s">
        <v>46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15" hidden="false" customHeight="false" outlineLevel="0" collapsed="false">
      <c r="A14" s="20" t="s">
        <v>47</v>
      </c>
      <c r="B14" s="20"/>
      <c r="C14" s="20" t="n">
        <v>1</v>
      </c>
      <c r="D14" s="20" t="n">
        <v>2</v>
      </c>
      <c r="E14" s="20" t="n">
        <v>3</v>
      </c>
      <c r="F14" s="20" t="n">
        <v>4</v>
      </c>
      <c r="G14" s="20" t="n">
        <v>5</v>
      </c>
      <c r="H14" s="20" t="n">
        <v>6</v>
      </c>
      <c r="I14" s="20" t="n">
        <v>7</v>
      </c>
      <c r="J14" s="20" t="n">
        <v>8</v>
      </c>
      <c r="K14" s="20" t="n">
        <v>9</v>
      </c>
      <c r="L14" s="20" t="n">
        <v>10</v>
      </c>
      <c r="M14" s="20" t="n">
        <v>11</v>
      </c>
      <c r="N14" s="20" t="n">
        <v>12</v>
      </c>
      <c r="O14" s="20" t="n">
        <v>13</v>
      </c>
      <c r="P14" s="20" t="s">
        <v>48</v>
      </c>
    </row>
    <row r="15" customFormat="false" ht="15" hidden="false" customHeight="false" outlineLevel="0" collapsed="false">
      <c r="A15" s="2" t="s">
        <v>49</v>
      </c>
      <c r="C15" s="21" t="n">
        <f aca="false">IF($B$5="","",$B$5+7*(C$14-1))</f>
        <v>46300</v>
      </c>
      <c r="D15" s="21" t="n">
        <f aca="false">IF($B$5="","",$B$5+7*(D$14-1))</f>
        <v>46307</v>
      </c>
      <c r="E15" s="21" t="n">
        <f aca="false">IF($B$5="","",$B$5+7*(E$14-1))</f>
        <v>46314</v>
      </c>
      <c r="F15" s="21" t="n">
        <f aca="false">IF($B$5="","",$B$5+7*(F$14-1))</f>
        <v>46321</v>
      </c>
      <c r="G15" s="21" t="n">
        <f aca="false">IF($B$5="","",$B$5+7*(G$14-1))</f>
        <v>46328</v>
      </c>
      <c r="H15" s="21" t="n">
        <f aca="false">IF($B$5="","",$B$5+7*(H$14-1))</f>
        <v>46335</v>
      </c>
      <c r="I15" s="21" t="n">
        <f aca="false">IF($B$5="","",$B$5+7*(I$14-1))</f>
        <v>46342</v>
      </c>
      <c r="J15" s="21" t="n">
        <f aca="false">IF($B$5="","",$B$5+7*(J$14-1))</f>
        <v>46349</v>
      </c>
      <c r="K15" s="21" t="n">
        <f aca="false">IF($B$5="","",$B$5+7*(K$14-1))</f>
        <v>46356</v>
      </c>
      <c r="L15" s="21" t="n">
        <f aca="false">IF($B$5="","",$B$5+7*(L$14-1))</f>
        <v>46363</v>
      </c>
      <c r="M15" s="21" t="n">
        <f aca="false">IF($B$5="","",$B$5+7*(M$14-1))</f>
        <v>46370</v>
      </c>
      <c r="N15" s="21" t="n">
        <f aca="false">IF($B$5="","",$B$5+7*(N$14-1))</f>
        <v>46377</v>
      </c>
      <c r="O15" s="21" t="n">
        <f aca="false">IF($B$5="","",$B$5+7*(O$14-1))</f>
        <v>46384</v>
      </c>
    </row>
    <row r="16" customFormat="false" ht="15" hidden="false" customHeight="false" outlineLevel="0" collapsed="false">
      <c r="A16" s="2" t="s">
        <v>50</v>
      </c>
      <c r="C16" s="21" t="n">
        <f aca="false">IF($B$5="","",C15+6)</f>
        <v>46306</v>
      </c>
      <c r="D16" s="21" t="n">
        <f aca="false">IF($B$5="","",D15+6)</f>
        <v>46313</v>
      </c>
      <c r="E16" s="21" t="n">
        <f aca="false">IF($B$5="","",E15+6)</f>
        <v>46320</v>
      </c>
      <c r="F16" s="21" t="n">
        <f aca="false">IF($B$5="","",F15+6)</f>
        <v>46327</v>
      </c>
      <c r="G16" s="21" t="n">
        <f aca="false">IF($B$5="","",G15+6)</f>
        <v>46334</v>
      </c>
      <c r="H16" s="21" t="n">
        <f aca="false">IF($B$5="","",H15+6)</f>
        <v>46341</v>
      </c>
      <c r="I16" s="21" t="n">
        <f aca="false">IF($B$5="","",I15+6)</f>
        <v>46348</v>
      </c>
      <c r="J16" s="21" t="n">
        <f aca="false">IF($B$5="","",J15+6)</f>
        <v>46355</v>
      </c>
      <c r="K16" s="21" t="n">
        <f aca="false">IF($B$5="","",K15+6)</f>
        <v>46362</v>
      </c>
      <c r="L16" s="21" t="n">
        <f aca="false">IF($B$5="","",L15+6)</f>
        <v>46369</v>
      </c>
      <c r="M16" s="21" t="n">
        <f aca="false">IF($B$5="","",M15+6)</f>
        <v>46376</v>
      </c>
      <c r="N16" s="21" t="n">
        <f aca="false">IF($B$5="","",N15+6)</f>
        <v>46383</v>
      </c>
      <c r="O16" s="21" t="n">
        <f aca="false">IF($B$5="","",O15+6)</f>
        <v>46390</v>
      </c>
    </row>
    <row r="17" customFormat="false" ht="15" hidden="false" customHeight="false" outlineLevel="0" collapsed="false">
      <c r="A17" s="14" t="s">
        <v>51</v>
      </c>
      <c r="C17" s="16"/>
      <c r="D17" s="16"/>
      <c r="E17" s="16"/>
      <c r="F17" s="16"/>
      <c r="G17" s="16"/>
      <c r="H17" s="16" t="n">
        <v>279.7</v>
      </c>
      <c r="I17" s="16" t="n">
        <v>486.5</v>
      </c>
      <c r="J17" s="16" t="n">
        <v>561.4</v>
      </c>
      <c r="K17" s="16" t="n">
        <v>771.2</v>
      </c>
      <c r="L17" s="16" t="n">
        <v>842.6</v>
      </c>
      <c r="M17" s="16" t="n">
        <v>968.3</v>
      </c>
      <c r="N17" s="16" t="n">
        <v>931.8</v>
      </c>
      <c r="O17" s="16" t="n">
        <v>1149.5</v>
      </c>
      <c r="P17" s="22" t="n">
        <f aca="false">SUM(C17:O17)</f>
        <v>5991</v>
      </c>
    </row>
    <row r="18" customFormat="false" ht="15" hidden="false" customHeight="false" outlineLevel="0" collapsed="false">
      <c r="A18" s="14" t="s">
        <v>52</v>
      </c>
      <c r="C18" s="18"/>
      <c r="D18" s="18"/>
      <c r="E18" s="18"/>
      <c r="F18" s="18"/>
      <c r="G18" s="18"/>
      <c r="H18" s="18" t="n">
        <v>3</v>
      </c>
      <c r="I18" s="18" t="n">
        <v>5</v>
      </c>
      <c r="J18" s="18" t="n">
        <v>6</v>
      </c>
      <c r="K18" s="18" t="n">
        <v>8</v>
      </c>
      <c r="L18" s="18" t="n">
        <v>9</v>
      </c>
      <c r="M18" s="18" t="n">
        <v>10</v>
      </c>
      <c r="N18" s="18" t="n">
        <v>10</v>
      </c>
      <c r="O18" s="18" t="n">
        <v>12</v>
      </c>
      <c r="P18" s="23" t="n">
        <f aca="false">SUM(C18:O18)</f>
        <v>63</v>
      </c>
    </row>
    <row r="19" customFormat="false" ht="15" hidden="false" customHeight="false" outlineLevel="0" collapsed="false">
      <c r="A19" s="14" t="s">
        <v>53</v>
      </c>
      <c r="C19" s="16"/>
      <c r="D19" s="16"/>
      <c r="E19" s="16"/>
      <c r="F19" s="16"/>
      <c r="G19" s="16"/>
      <c r="H19" s="16"/>
      <c r="I19" s="16"/>
      <c r="J19" s="16"/>
      <c r="K19" s="16" t="n">
        <v>479.4</v>
      </c>
      <c r="L19" s="16" t="n">
        <v>319.6</v>
      </c>
      <c r="M19" s="16"/>
      <c r="N19" s="16"/>
      <c r="O19" s="16"/>
      <c r="P19" s="22" t="n">
        <f aca="false">SUM(C19:O19)</f>
        <v>799</v>
      </c>
    </row>
    <row r="20" customFormat="false" ht="15" hidden="false" customHeight="false" outlineLevel="0" collapsed="false">
      <c r="A20" s="14" t="s">
        <v>54</v>
      </c>
      <c r="C20" s="18"/>
      <c r="D20" s="18"/>
      <c r="E20" s="18"/>
      <c r="F20" s="18"/>
      <c r="G20" s="18"/>
      <c r="H20" s="18"/>
      <c r="I20" s="18"/>
      <c r="J20" s="18"/>
      <c r="K20" s="18" t="n">
        <v>6</v>
      </c>
      <c r="L20" s="18" t="n">
        <v>4</v>
      </c>
      <c r="M20" s="18"/>
      <c r="N20" s="18"/>
      <c r="O20" s="18"/>
      <c r="P20" s="23" t="n">
        <f aca="false">SUM(C20:O20)</f>
        <v>10</v>
      </c>
    </row>
    <row r="21" customFormat="false" ht="15" hidden="false" customHeight="false" outlineLevel="0" collapsed="false">
      <c r="A21" s="14" t="s">
        <v>55</v>
      </c>
      <c r="C21" s="24" t="n">
        <f aca="false">(C17+C19)*$B$8+(C18+C20)*$B$9</f>
        <v>0</v>
      </c>
      <c r="D21" s="24" t="n">
        <f aca="false">(D17+D19)*$B$8+(D18+D20)*$B$9</f>
        <v>0</v>
      </c>
      <c r="E21" s="24" t="n">
        <f aca="false">(E17+E19)*$B$8+(E18+E20)*$B$9</f>
        <v>0</v>
      </c>
      <c r="F21" s="24" t="n">
        <f aca="false">(F17+F19)*$B$8+(F18+F20)*$B$9</f>
        <v>0</v>
      </c>
      <c r="G21" s="24" t="n">
        <f aca="false">(G17+G19)*$B$8+(G18+G20)*$B$9</f>
        <v>0</v>
      </c>
      <c r="H21" s="24" t="n">
        <f aca="false">(H17+H19)*$B$8+(H18+H20)*$B$9</f>
        <v>7.8925</v>
      </c>
      <c r="I21" s="24" t="n">
        <f aca="false">(I17+I19)*$B$8+(I18+I20)*$B$9</f>
        <v>13.6625</v>
      </c>
      <c r="J21" s="24" t="n">
        <f aca="false">(J17+J19)*$B$8+(J18+J20)*$B$9</f>
        <v>15.835</v>
      </c>
      <c r="K21" s="24" t="n">
        <f aca="false">(K17+K19)*$B$8+(K18+K20)*$B$9</f>
        <v>35.465</v>
      </c>
      <c r="L21" s="24" t="n">
        <f aca="false">(L17+L19)*$B$8+(L18+L20)*$B$9</f>
        <v>32.955</v>
      </c>
      <c r="M21" s="24" t="n">
        <f aca="false">(M17+M19)*$B$8+(M18+M20)*$B$9</f>
        <v>27.2075</v>
      </c>
      <c r="N21" s="24" t="n">
        <f aca="false">(N17+N19)*$B$8+(N18+N20)*$B$9</f>
        <v>26.295</v>
      </c>
      <c r="O21" s="24" t="n">
        <f aca="false">(O17+O19)*$B$8+(O18+O20)*$B$9</f>
        <v>32.3375</v>
      </c>
      <c r="P21" s="22" t="n">
        <f aca="false">SUM(C21:O21)</f>
        <v>191.65</v>
      </c>
    </row>
    <row r="22" customFormat="false" ht="15" hidden="false" customHeight="false" outlineLevel="0" collapsed="false">
      <c r="A22" s="14" t="s">
        <v>56</v>
      </c>
      <c r="C22" s="24" t="n">
        <f aca="false">C17+C19-C21</f>
        <v>0</v>
      </c>
      <c r="D22" s="24" t="n">
        <f aca="false">D17+D19-D21</f>
        <v>0</v>
      </c>
      <c r="E22" s="24" t="n">
        <f aca="false">E17+E19-E21</f>
        <v>0</v>
      </c>
      <c r="F22" s="24" t="n">
        <f aca="false">F17+F19-F21</f>
        <v>0</v>
      </c>
      <c r="G22" s="24" t="n">
        <f aca="false">G17+G19-G21</f>
        <v>0</v>
      </c>
      <c r="H22" s="24" t="n">
        <f aca="false">H17+H19-H21</f>
        <v>271.8075</v>
      </c>
      <c r="I22" s="24" t="n">
        <f aca="false">I17+I19-I21</f>
        <v>472.8375</v>
      </c>
      <c r="J22" s="24" t="n">
        <f aca="false">J17+J19-J21</f>
        <v>545.565</v>
      </c>
      <c r="K22" s="24" t="n">
        <f aca="false">K17+K19-K21</f>
        <v>1215.135</v>
      </c>
      <c r="L22" s="24" t="n">
        <f aca="false">L17+L19-L21</f>
        <v>1129.245</v>
      </c>
      <c r="M22" s="24" t="n">
        <f aca="false">M17+M19-M21</f>
        <v>941.0925</v>
      </c>
      <c r="N22" s="24" t="n">
        <f aca="false">N17+N19-N21</f>
        <v>905.505</v>
      </c>
      <c r="O22" s="24" t="n">
        <f aca="false">O17+O19-O21</f>
        <v>1117.1625</v>
      </c>
      <c r="P22" s="22" t="n">
        <f aca="false">SUM(C22:O22)</f>
        <v>6598.35</v>
      </c>
    </row>
    <row r="23" customFormat="false" ht="15" hidden="false" customHeight="false" outlineLevel="0" collapsed="false">
      <c r="A23" s="12" t="s">
        <v>57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15" hidden="false" customHeight="false" outlineLevel="0" collapsed="false">
      <c r="A24" s="14" t="s">
        <v>58</v>
      </c>
      <c r="C24" s="24" t="n">
        <f aca="false">IF(C$14-$B$10&gt;=1,INDEX($C$22:$O$22,C$14-$B$10),0)</f>
        <v>0</v>
      </c>
      <c r="D24" s="24" t="n">
        <f aca="false">IF(D$14-$B$10&gt;=1,INDEX($C$22:$O$22,D$14-$B$10),0)</f>
        <v>0</v>
      </c>
      <c r="E24" s="24" t="n">
        <f aca="false">IF(E$14-$B$10&gt;=1,INDEX($C$22:$O$22,E$14-$B$10),0)</f>
        <v>0</v>
      </c>
      <c r="F24" s="24" t="n">
        <f aca="false">IF(F$14-$B$10&gt;=1,INDEX($C$22:$O$22,F$14-$B$10),0)</f>
        <v>0</v>
      </c>
      <c r="G24" s="24" t="n">
        <f aca="false">IF(G$14-$B$10&gt;=1,INDEX($C$22:$O$22,G$14-$B$10),0)</f>
        <v>0</v>
      </c>
      <c r="H24" s="24" t="n">
        <f aca="false">IF(H$14-$B$10&gt;=1,INDEX($C$22:$O$22,H$14-$B$10),0)</f>
        <v>0</v>
      </c>
      <c r="I24" s="24" t="n">
        <f aca="false">IF(I$14-$B$10&gt;=1,INDEX($C$22:$O$22,I$14-$B$10),0)</f>
        <v>271.8075</v>
      </c>
      <c r="J24" s="24" t="n">
        <f aca="false">IF(J$14-$B$10&gt;=1,INDEX($C$22:$O$22,J$14-$B$10),0)</f>
        <v>472.8375</v>
      </c>
      <c r="K24" s="24" t="n">
        <f aca="false">IF(K$14-$B$10&gt;=1,INDEX($C$22:$O$22,K$14-$B$10),0)</f>
        <v>545.565</v>
      </c>
      <c r="L24" s="24" t="n">
        <f aca="false">IF(L$14-$B$10&gt;=1,INDEX($C$22:$O$22,L$14-$B$10),0)</f>
        <v>1215.135</v>
      </c>
      <c r="M24" s="24" t="n">
        <f aca="false">IF(M$14-$B$10&gt;=1,INDEX($C$22:$O$22,M$14-$B$10),0)</f>
        <v>1129.245</v>
      </c>
      <c r="N24" s="24" t="n">
        <f aca="false">IF(N$14-$B$10&gt;=1,INDEX($C$22:$O$22,N$14-$B$10),0)</f>
        <v>941.0925</v>
      </c>
      <c r="O24" s="24" t="n">
        <f aca="false">IF(O$14-$B$10&gt;=1,INDEX($C$22:$O$22,O$14-$B$10),0)</f>
        <v>905.505</v>
      </c>
      <c r="P24" s="22" t="n">
        <f aca="false">SUM(C24:O24)</f>
        <v>5481.1875</v>
      </c>
    </row>
    <row r="25" customFormat="false" ht="15" hidden="false" customHeight="false" outlineLevel="0" collapsed="false">
      <c r="A25" s="14" t="s">
        <v>59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2" t="n">
        <f aca="false">SUM(C25:O25)</f>
        <v>0</v>
      </c>
    </row>
    <row r="26" customFormat="false" ht="15" hidden="false" customHeight="false" outlineLevel="0" collapsed="false">
      <c r="A26" s="14" t="s">
        <v>60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 t="n">
        <f aca="false">SUM(C26:O26)</f>
        <v>0</v>
      </c>
    </row>
    <row r="27" customFormat="false" ht="15" hidden="false" customHeight="false" outlineLevel="0" collapsed="false">
      <c r="A27" s="25" t="s">
        <v>61</v>
      </c>
      <c r="C27" s="22" t="n">
        <f aca="false">C24+C25+C26</f>
        <v>0</v>
      </c>
      <c r="D27" s="22" t="n">
        <f aca="false">D24+D25+D26</f>
        <v>0</v>
      </c>
      <c r="E27" s="22" t="n">
        <f aca="false">E24+E25+E26</f>
        <v>0</v>
      </c>
      <c r="F27" s="22" t="n">
        <f aca="false">F24+F25+F26</f>
        <v>0</v>
      </c>
      <c r="G27" s="22" t="n">
        <f aca="false">G24+G25+G26</f>
        <v>0</v>
      </c>
      <c r="H27" s="22" t="n">
        <f aca="false">H24+H25+H26</f>
        <v>0</v>
      </c>
      <c r="I27" s="22" t="n">
        <f aca="false">I24+I25+I26</f>
        <v>271.8075</v>
      </c>
      <c r="J27" s="22" t="n">
        <f aca="false">J24+J25+J26</f>
        <v>472.8375</v>
      </c>
      <c r="K27" s="22" t="n">
        <f aca="false">K24+K25+K26</f>
        <v>545.565</v>
      </c>
      <c r="L27" s="22" t="n">
        <f aca="false">L24+L25+L26</f>
        <v>1215.135</v>
      </c>
      <c r="M27" s="22" t="n">
        <f aca="false">M24+M25+M26</f>
        <v>1129.245</v>
      </c>
      <c r="N27" s="22" t="n">
        <f aca="false">N24+N25+N26</f>
        <v>941.0925</v>
      </c>
      <c r="O27" s="22" t="n">
        <f aca="false">O24+O25+O26</f>
        <v>905.505</v>
      </c>
      <c r="P27" s="22" t="n">
        <f aca="false">SUM(C27:O27)</f>
        <v>5481.1875</v>
      </c>
    </row>
    <row r="28" customFormat="false" ht="15" hidden="false" customHeight="false" outlineLevel="0" collapsed="false">
      <c r="A28" s="12" t="s">
        <v>62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customFormat="false" ht="15" hidden="false" customHeight="false" outlineLevel="0" collapsed="false">
      <c r="A29" s="14" t="s">
        <v>63</v>
      </c>
      <c r="C29" s="16"/>
      <c r="D29" s="16"/>
      <c r="E29" s="16"/>
      <c r="F29" s="16" t="n">
        <v>3000</v>
      </c>
      <c r="G29" s="16"/>
      <c r="H29" s="16"/>
      <c r="I29" s="16"/>
      <c r="J29" s="16" t="n">
        <v>900</v>
      </c>
      <c r="K29" s="16"/>
      <c r="L29" s="16" t="n">
        <v>650</v>
      </c>
      <c r="M29" s="16"/>
      <c r="N29" s="16"/>
      <c r="O29" s="16"/>
      <c r="P29" s="22" t="n">
        <f aca="false">SUM(C29:O29)</f>
        <v>4550</v>
      </c>
    </row>
    <row r="30" customFormat="false" ht="15" hidden="false" customHeight="false" outlineLevel="0" collapsed="false">
      <c r="A30" s="14" t="s">
        <v>64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 t="n">
        <v>1200</v>
      </c>
      <c r="N30" s="16"/>
      <c r="O30" s="16"/>
      <c r="P30" s="22" t="n">
        <f aca="false">SUM(C30:O30)</f>
        <v>1200</v>
      </c>
    </row>
    <row r="31" customFormat="false" ht="15" hidden="false" customHeight="false" outlineLevel="0" collapsed="false">
      <c r="A31" s="14" t="s">
        <v>65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 t="n">
        <v>150</v>
      </c>
      <c r="P31" s="22" t="n">
        <f aca="false">SUM(C31:O31)</f>
        <v>150</v>
      </c>
    </row>
    <row r="32" customFormat="false" ht="15" hidden="false" customHeight="false" outlineLevel="0" collapsed="false">
      <c r="A32" s="14" t="s">
        <v>66</v>
      </c>
      <c r="C32" s="16"/>
      <c r="D32" s="16"/>
      <c r="E32" s="16"/>
      <c r="F32" s="16"/>
      <c r="G32" s="16"/>
      <c r="H32" s="16" t="n">
        <v>27</v>
      </c>
      <c r="I32" s="16" t="n">
        <v>45</v>
      </c>
      <c r="J32" s="16" t="n">
        <v>54</v>
      </c>
      <c r="K32" s="16" t="n">
        <v>72</v>
      </c>
      <c r="L32" s="16" t="n">
        <v>81</v>
      </c>
      <c r="M32" s="16" t="n">
        <v>90</v>
      </c>
      <c r="N32" s="16" t="n">
        <v>90</v>
      </c>
      <c r="O32" s="16" t="n">
        <v>108</v>
      </c>
      <c r="P32" s="22" t="n">
        <f aca="false">SUM(C32:O32)</f>
        <v>567</v>
      </c>
    </row>
    <row r="33" customFormat="false" ht="15" hidden="false" customHeight="false" outlineLevel="0" collapsed="false">
      <c r="A33" s="14" t="s">
        <v>67</v>
      </c>
      <c r="C33" s="16"/>
      <c r="D33" s="16"/>
      <c r="E33" s="16"/>
      <c r="F33" s="16"/>
      <c r="G33" s="16"/>
      <c r="H33" s="16"/>
      <c r="I33" s="16"/>
      <c r="J33" s="16"/>
      <c r="K33" s="16" t="n">
        <v>94.9</v>
      </c>
      <c r="L33" s="16"/>
      <c r="M33" s="16"/>
      <c r="N33" s="16"/>
      <c r="O33" s="16"/>
      <c r="P33" s="22" t="n">
        <f aca="false">SUM(C33:O33)</f>
        <v>94.9</v>
      </c>
    </row>
    <row r="34" customFormat="false" ht="15" hidden="false" customHeight="false" outlineLevel="0" collapsed="false">
      <c r="A34" s="14" t="s">
        <v>68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 t="n">
        <v>79.9</v>
      </c>
      <c r="N34" s="16"/>
      <c r="O34" s="16"/>
      <c r="P34" s="22" t="n">
        <f aca="false">SUM(C34:O34)</f>
        <v>79.9</v>
      </c>
    </row>
    <row r="35" customFormat="false" ht="15" hidden="false" customHeight="false" outlineLevel="0" collapsed="false">
      <c r="A35" s="14" t="s">
        <v>69</v>
      </c>
      <c r="C35" s="16"/>
      <c r="D35" s="16"/>
      <c r="E35" s="16"/>
      <c r="F35" s="16"/>
      <c r="G35" s="16"/>
      <c r="H35" s="16"/>
      <c r="I35" s="16" t="n">
        <v>150</v>
      </c>
      <c r="J35" s="16" t="n">
        <v>200</v>
      </c>
      <c r="K35" s="16" t="n">
        <v>150</v>
      </c>
      <c r="L35" s="16"/>
      <c r="M35" s="16"/>
      <c r="N35" s="16"/>
      <c r="O35" s="16"/>
      <c r="P35" s="22" t="n">
        <f aca="false">SUM(C35:O35)</f>
        <v>500</v>
      </c>
    </row>
    <row r="36" customFormat="false" ht="15" hidden="false" customHeight="false" outlineLevel="0" collapsed="false">
      <c r="A36" s="14" t="s">
        <v>70</v>
      </c>
      <c r="C36" s="16" t="n">
        <v>400</v>
      </c>
      <c r="D36" s="16"/>
      <c r="E36" s="16"/>
      <c r="F36" s="16"/>
      <c r="G36" s="16" t="n">
        <v>400</v>
      </c>
      <c r="H36" s="16"/>
      <c r="I36" s="16"/>
      <c r="J36" s="16"/>
      <c r="K36" s="16" t="n">
        <v>400</v>
      </c>
      <c r="L36" s="16"/>
      <c r="M36" s="16"/>
      <c r="N36" s="16"/>
      <c r="O36" s="16" t="n">
        <v>400</v>
      </c>
      <c r="P36" s="22" t="n">
        <f aca="false">SUM(C36:O36)</f>
        <v>1600</v>
      </c>
    </row>
    <row r="37" customFormat="false" ht="15" hidden="false" customHeight="false" outlineLevel="0" collapsed="false">
      <c r="A37" s="14" t="s">
        <v>71</v>
      </c>
      <c r="C37" s="16" t="n">
        <v>1100</v>
      </c>
      <c r="D37" s="16" t="n">
        <v>1150</v>
      </c>
      <c r="E37" s="16" t="n">
        <v>650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22" t="n">
        <f aca="false">SUM(C37:O37)</f>
        <v>2900</v>
      </c>
    </row>
    <row r="38" customFormat="false" ht="15" hidden="false" customHeight="false" outlineLevel="0" collapsed="false">
      <c r="A38" s="14" t="s">
        <v>72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2" t="n">
        <f aca="false">SUM(C38:O38)</f>
        <v>0</v>
      </c>
    </row>
    <row r="39" customFormat="false" ht="15" hidden="false" customHeight="false" outlineLevel="0" collapsed="false">
      <c r="A39" s="25" t="s">
        <v>73</v>
      </c>
      <c r="C39" s="22" t="n">
        <f aca="false">SUM(C29:C38)</f>
        <v>1500</v>
      </c>
      <c r="D39" s="22" t="n">
        <f aca="false">SUM(D29:D38)</f>
        <v>1150</v>
      </c>
      <c r="E39" s="22" t="n">
        <f aca="false">SUM(E29:E38)</f>
        <v>650</v>
      </c>
      <c r="F39" s="22" t="n">
        <f aca="false">SUM(F29:F38)</f>
        <v>3000</v>
      </c>
      <c r="G39" s="22" t="n">
        <f aca="false">SUM(G29:G38)</f>
        <v>400</v>
      </c>
      <c r="H39" s="22" t="n">
        <f aca="false">SUM(H29:H38)</f>
        <v>27</v>
      </c>
      <c r="I39" s="22" t="n">
        <f aca="false">SUM(I29:I38)</f>
        <v>195</v>
      </c>
      <c r="J39" s="22" t="n">
        <f aca="false">SUM(J29:J38)</f>
        <v>1154</v>
      </c>
      <c r="K39" s="22" t="n">
        <f aca="false">SUM(K29:K38)</f>
        <v>716.9</v>
      </c>
      <c r="L39" s="22" t="n">
        <f aca="false">SUM(L29:L38)</f>
        <v>731</v>
      </c>
      <c r="M39" s="22" t="n">
        <f aca="false">SUM(M29:M38)</f>
        <v>1369.9</v>
      </c>
      <c r="N39" s="22" t="n">
        <f aca="false">SUM(N29:N38)</f>
        <v>90</v>
      </c>
      <c r="O39" s="22" t="n">
        <f aca="false">SUM(O29:O38)</f>
        <v>658</v>
      </c>
      <c r="P39" s="22" t="n">
        <f aca="false">SUM(C39:O39)</f>
        <v>11641.8</v>
      </c>
    </row>
    <row r="40" customFormat="false" ht="15" hidden="false" customHeight="false" outlineLevel="0" collapsed="false">
      <c r="A40" s="12" t="s">
        <v>74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customFormat="false" ht="15" hidden="false" customHeight="false" outlineLevel="0" collapsed="false">
      <c r="A41" s="14" t="s">
        <v>75</v>
      </c>
      <c r="C41" s="24" t="n">
        <f aca="false">$B$6</f>
        <v>8000</v>
      </c>
      <c r="D41" s="24" t="n">
        <f aca="false">C43</f>
        <v>6500</v>
      </c>
      <c r="E41" s="24" t="n">
        <f aca="false">D43</f>
        <v>5350</v>
      </c>
      <c r="F41" s="24" t="n">
        <f aca="false">E43</f>
        <v>4700</v>
      </c>
      <c r="G41" s="24" t="n">
        <f aca="false">F43</f>
        <v>1700</v>
      </c>
      <c r="H41" s="24" t="n">
        <f aca="false">G43</f>
        <v>1300</v>
      </c>
      <c r="I41" s="24" t="n">
        <f aca="false">H43</f>
        <v>1273</v>
      </c>
      <c r="J41" s="24" t="n">
        <f aca="false">I43</f>
        <v>1349.8075</v>
      </c>
      <c r="K41" s="24" t="n">
        <f aca="false">J43</f>
        <v>668.645</v>
      </c>
      <c r="L41" s="24" t="n">
        <f aca="false">K43</f>
        <v>497.31</v>
      </c>
      <c r="M41" s="24" t="n">
        <f aca="false">L43</f>
        <v>981.445</v>
      </c>
      <c r="N41" s="24" t="n">
        <f aca="false">M43</f>
        <v>740.79</v>
      </c>
      <c r="O41" s="24" t="n">
        <f aca="false">N43</f>
        <v>1591.8825</v>
      </c>
      <c r="P41" s="22" t="n">
        <f aca="false">C41</f>
        <v>8000</v>
      </c>
    </row>
    <row r="42" customFormat="false" ht="15" hidden="false" customHeight="false" outlineLevel="0" collapsed="false">
      <c r="A42" s="14" t="s">
        <v>76</v>
      </c>
      <c r="C42" s="26" t="n">
        <f aca="false">C27-C39</f>
        <v>-1500</v>
      </c>
      <c r="D42" s="26" t="n">
        <f aca="false">D27-D39</f>
        <v>-1150</v>
      </c>
      <c r="E42" s="26" t="n">
        <f aca="false">E27-E39</f>
        <v>-650</v>
      </c>
      <c r="F42" s="26" t="n">
        <f aca="false">F27-F39</f>
        <v>-3000</v>
      </c>
      <c r="G42" s="26" t="n">
        <f aca="false">G27-G39</f>
        <v>-400</v>
      </c>
      <c r="H42" s="26" t="n">
        <f aca="false">H27-H39</f>
        <v>-27</v>
      </c>
      <c r="I42" s="26" t="n">
        <f aca="false">I27-I39</f>
        <v>76.8075</v>
      </c>
      <c r="J42" s="26" t="n">
        <f aca="false">J27-J39</f>
        <v>-681.1625</v>
      </c>
      <c r="K42" s="26" t="n">
        <f aca="false">K27-K39</f>
        <v>-171.335</v>
      </c>
      <c r="L42" s="26" t="n">
        <f aca="false">L27-L39</f>
        <v>484.135</v>
      </c>
      <c r="M42" s="26" t="n">
        <f aca="false">M27-M39</f>
        <v>-240.655</v>
      </c>
      <c r="N42" s="26" t="n">
        <f aca="false">N27-N39</f>
        <v>851.0925</v>
      </c>
      <c r="O42" s="26" t="n">
        <f aca="false">O27-O39</f>
        <v>247.505</v>
      </c>
      <c r="P42" s="22" t="n">
        <f aca="false">SUM(C42:O42)</f>
        <v>-6160.6125</v>
      </c>
    </row>
    <row r="43" customFormat="false" ht="15" hidden="false" customHeight="false" outlineLevel="0" collapsed="false">
      <c r="A43" s="25" t="s">
        <v>77</v>
      </c>
      <c r="C43" s="27" t="n">
        <f aca="false">C41+C42</f>
        <v>6500</v>
      </c>
      <c r="D43" s="27" t="n">
        <f aca="false">D41+D42</f>
        <v>5350</v>
      </c>
      <c r="E43" s="27" t="n">
        <f aca="false">E41+E42</f>
        <v>4700</v>
      </c>
      <c r="F43" s="27" t="n">
        <f aca="false">F41+F42</f>
        <v>1700</v>
      </c>
      <c r="G43" s="27" t="n">
        <f aca="false">G41+G42</f>
        <v>1300</v>
      </c>
      <c r="H43" s="27" t="n">
        <f aca="false">H41+H42</f>
        <v>1273</v>
      </c>
      <c r="I43" s="27" t="n">
        <f aca="false">I41+I42</f>
        <v>1349.8075</v>
      </c>
      <c r="J43" s="27" t="n">
        <f aca="false">J41+J42</f>
        <v>668.645</v>
      </c>
      <c r="K43" s="27" t="n">
        <f aca="false">K41+K42</f>
        <v>497.31</v>
      </c>
      <c r="L43" s="27" t="n">
        <f aca="false">L41+L42</f>
        <v>981.445</v>
      </c>
      <c r="M43" s="27" t="n">
        <f aca="false">M41+M42</f>
        <v>740.79</v>
      </c>
      <c r="N43" s="27" t="n">
        <f aca="false">N41+N42</f>
        <v>1591.8825</v>
      </c>
      <c r="O43" s="27" t="n">
        <f aca="false">O41+O42</f>
        <v>1839.3875</v>
      </c>
      <c r="P43" s="28" t="n">
        <f aca="false">O43</f>
        <v>1839.3875</v>
      </c>
    </row>
    <row r="44" customFormat="false" ht="15" hidden="false" customHeight="false" outlineLevel="0" collapsed="false">
      <c r="A44" s="12" t="s">
        <v>78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customFormat="false" ht="15" hidden="false" customHeight="false" outlineLevel="0" collapsed="false">
      <c r="A45" s="14" t="s">
        <v>79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 t="n">
        <v>719.1</v>
      </c>
      <c r="P45" s="22" t="n">
        <f aca="false">SUM(C45:O45)</f>
        <v>719.1</v>
      </c>
    </row>
    <row r="46" customFormat="false" ht="15" hidden="false" customHeight="false" outlineLevel="0" collapsed="false">
      <c r="A46" s="14" t="s">
        <v>80</v>
      </c>
      <c r="C46" s="24" t="n">
        <f aca="false">MAX(0,$B$12+C19-C45-C34)</f>
        <v>0</v>
      </c>
      <c r="D46" s="24" t="n">
        <f aca="false">MAX(0,C46+D19-D45-D34)</f>
        <v>0</v>
      </c>
      <c r="E46" s="24" t="n">
        <f aca="false">MAX(0,D46+E19-E45-E34)</f>
        <v>0</v>
      </c>
      <c r="F46" s="24" t="n">
        <f aca="false">MAX(0,E46+F19-F45-F34)</f>
        <v>0</v>
      </c>
      <c r="G46" s="24" t="n">
        <f aca="false">MAX(0,F46+G19-G45-G34)</f>
        <v>0</v>
      </c>
      <c r="H46" s="24" t="n">
        <f aca="false">MAX(0,G46+H19-H45-H34)</f>
        <v>0</v>
      </c>
      <c r="I46" s="24" t="n">
        <f aca="false">MAX(0,H46+I19-I45-I34)</f>
        <v>0</v>
      </c>
      <c r="J46" s="24" t="n">
        <f aca="false">MAX(0,I46+J19-J45-J34)</f>
        <v>0</v>
      </c>
      <c r="K46" s="24" t="n">
        <f aca="false">MAX(0,J46+K19-K45-K34)</f>
        <v>479.4</v>
      </c>
      <c r="L46" s="24" t="n">
        <f aca="false">MAX(0,K46+L19-L45-L34)</f>
        <v>799</v>
      </c>
      <c r="M46" s="24" t="n">
        <f aca="false">MAX(0,L46+M19-M45-M34)</f>
        <v>719.1</v>
      </c>
      <c r="N46" s="24" t="n">
        <f aca="false">MAX(0,M46+N19-N45-N34)</f>
        <v>719.1</v>
      </c>
      <c r="O46" s="24" t="n">
        <f aca="false">MAX(0,N46+O19-O45-O34)</f>
        <v>0</v>
      </c>
    </row>
    <row r="47" customFormat="false" ht="15" hidden="false" customHeight="false" outlineLevel="0" collapsed="false">
      <c r="A47" s="14" t="s">
        <v>81</v>
      </c>
      <c r="C47" s="24" t="n">
        <f aca="false">$B$7</f>
        <v>500</v>
      </c>
      <c r="D47" s="24" t="n">
        <f aca="false">$B$7</f>
        <v>500</v>
      </c>
      <c r="E47" s="24" t="n">
        <f aca="false">$B$7</f>
        <v>500</v>
      </c>
      <c r="F47" s="24" t="n">
        <f aca="false">$B$7</f>
        <v>500</v>
      </c>
      <c r="G47" s="24" t="n">
        <f aca="false">$B$7</f>
        <v>500</v>
      </c>
      <c r="H47" s="24" t="n">
        <f aca="false">$B$7</f>
        <v>500</v>
      </c>
      <c r="I47" s="24" t="n">
        <f aca="false">$B$7</f>
        <v>500</v>
      </c>
      <c r="J47" s="24" t="n">
        <f aca="false">$B$7</f>
        <v>500</v>
      </c>
      <c r="K47" s="24" t="n">
        <f aca="false">$B$7</f>
        <v>500</v>
      </c>
      <c r="L47" s="24" t="n">
        <f aca="false">$B$7</f>
        <v>500</v>
      </c>
      <c r="M47" s="24" t="n">
        <f aca="false">$B$7</f>
        <v>500</v>
      </c>
      <c r="N47" s="24" t="n">
        <f aca="false">$B$7</f>
        <v>500</v>
      </c>
      <c r="O47" s="24" t="n">
        <f aca="false">$B$7</f>
        <v>500</v>
      </c>
    </row>
    <row r="48" customFormat="false" ht="15" hidden="false" customHeight="false" outlineLevel="0" collapsed="false">
      <c r="A48" s="25" t="s">
        <v>82</v>
      </c>
      <c r="C48" s="28" t="n">
        <f aca="false">C43-C46-C47</f>
        <v>6000</v>
      </c>
      <c r="D48" s="28" t="n">
        <f aca="false">D43-D46-D47</f>
        <v>4850</v>
      </c>
      <c r="E48" s="28" t="n">
        <f aca="false">E43-E46-E47</f>
        <v>4200</v>
      </c>
      <c r="F48" s="28" t="n">
        <f aca="false">F43-F46-F47</f>
        <v>1200</v>
      </c>
      <c r="G48" s="28" t="n">
        <f aca="false">G43-G46-G47</f>
        <v>800</v>
      </c>
      <c r="H48" s="28" t="n">
        <f aca="false">H43-H46-H47</f>
        <v>773</v>
      </c>
      <c r="I48" s="28" t="n">
        <f aca="false">I43-I46-I47</f>
        <v>849.8075</v>
      </c>
      <c r="J48" s="28" t="n">
        <f aca="false">J43-J46-J47</f>
        <v>168.645</v>
      </c>
      <c r="K48" s="28" t="n">
        <f aca="false">K43-K46-K47</f>
        <v>-482.09</v>
      </c>
      <c r="L48" s="28" t="n">
        <f aca="false">L43-L46-L47</f>
        <v>-317.555</v>
      </c>
      <c r="M48" s="28" t="n">
        <f aca="false">M43-M46-M47</f>
        <v>-478.31</v>
      </c>
      <c r="N48" s="28" t="n">
        <f aca="false">N43-N46-N47</f>
        <v>372.7825</v>
      </c>
      <c r="O48" s="28" t="n">
        <f aca="false">O43-O46-O47</f>
        <v>1339.3875</v>
      </c>
    </row>
    <row r="49" customFormat="false" ht="15" hidden="false" customHeight="false" outlineLevel="0" collapsed="false">
      <c r="A49" s="25" t="s">
        <v>83</v>
      </c>
      <c r="C49" s="29" t="str">
        <f aca="false">IF(C43&lt;0,"SOLDE NÉGATIF",IF(C43&lt;C47,"SOUS RÉSERVE MINI",IF(C48&lt;0,"PRÉCOMMANDES NON COUVERTES","OK")))</f>
        <v>OK</v>
      </c>
      <c r="D49" s="29" t="str">
        <f aca="false">IF(D43&lt;0,"SOLDE NÉGATIF",IF(D43&lt;D47,"SOUS RÉSERVE MINI",IF(D48&lt;0,"PRÉCOMMANDES NON COUVERTES","OK")))</f>
        <v>OK</v>
      </c>
      <c r="E49" s="29" t="str">
        <f aca="false">IF(E43&lt;0,"SOLDE NÉGATIF",IF(E43&lt;E47,"SOUS RÉSERVE MINI",IF(E48&lt;0,"PRÉCOMMANDES NON COUVERTES","OK")))</f>
        <v>OK</v>
      </c>
      <c r="F49" s="29" t="str">
        <f aca="false">IF(F43&lt;0,"SOLDE NÉGATIF",IF(F43&lt;F47,"SOUS RÉSERVE MINI",IF(F48&lt;0,"PRÉCOMMANDES NON COUVERTES","OK")))</f>
        <v>OK</v>
      </c>
      <c r="G49" s="29" t="str">
        <f aca="false">IF(G43&lt;0,"SOLDE NÉGATIF",IF(G43&lt;G47,"SOUS RÉSERVE MINI",IF(G48&lt;0,"PRÉCOMMANDES NON COUVERTES","OK")))</f>
        <v>OK</v>
      </c>
      <c r="H49" s="29" t="str">
        <f aca="false">IF(H43&lt;0,"SOLDE NÉGATIF",IF(H43&lt;H47,"SOUS RÉSERVE MINI",IF(H48&lt;0,"PRÉCOMMANDES NON COUVERTES","OK")))</f>
        <v>OK</v>
      </c>
      <c r="I49" s="29" t="str">
        <f aca="false">IF(I43&lt;0,"SOLDE NÉGATIF",IF(I43&lt;I47,"SOUS RÉSERVE MINI",IF(I48&lt;0,"PRÉCOMMANDES NON COUVERTES","OK")))</f>
        <v>OK</v>
      </c>
      <c r="J49" s="29" t="str">
        <f aca="false">IF(J43&lt;0,"SOLDE NÉGATIF",IF(J43&lt;J47,"SOUS RÉSERVE MINI",IF(J48&lt;0,"PRÉCOMMANDES NON COUVERTES","OK")))</f>
        <v>OK</v>
      </c>
      <c r="K49" s="29" t="str">
        <f aca="false">IF(K43&lt;0,"SOLDE NÉGATIF",IF(K43&lt;K47,"SOUS RÉSERVE MINI",IF(K48&lt;0,"PRÉCOMMANDES NON COUVERTES","OK")))</f>
        <v>SOUS RÉSERVE MINI</v>
      </c>
      <c r="L49" s="29" t="str">
        <f aca="false">IF(L43&lt;0,"SOLDE NÉGATIF",IF(L43&lt;L47,"SOUS RÉSERVE MINI",IF(L48&lt;0,"PRÉCOMMANDES NON COUVERTES","OK")))</f>
        <v>PRÉCOMMANDES NON COUVERTES</v>
      </c>
      <c r="M49" s="29" t="str">
        <f aca="false">IF(M43&lt;0,"SOLDE NÉGATIF",IF(M43&lt;M47,"SOUS RÉSERVE MINI",IF(M48&lt;0,"PRÉCOMMANDES NON COUVERTES","OK")))</f>
        <v>PRÉCOMMANDES NON COUVERTES</v>
      </c>
      <c r="N49" s="29" t="str">
        <f aca="false">IF(N43&lt;0,"SOLDE NÉGATIF",IF(N43&lt;N47,"SOUS RÉSERVE MINI",IF(N48&lt;0,"PRÉCOMMANDES NON COUVERTES","OK")))</f>
        <v>OK</v>
      </c>
      <c r="O49" s="29" t="str">
        <f aca="false">IF(O43&lt;0,"SOLDE NÉGATIF",IF(O43&lt;O47,"SOUS RÉSERVE MINI",IF(O48&lt;0,"PRÉCOMMANDES NON COUVERTES","OK")))</f>
        <v>OK</v>
      </c>
    </row>
    <row r="51" customFormat="false" ht="15" hidden="false" customHeight="false" outlineLevel="0" collapsed="false">
      <c r="A51" s="12" t="s">
        <v>84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customFormat="false" ht="15" hidden="false" customHeight="false" outlineLevel="0" collapsed="false">
      <c r="A52" s="25" t="s">
        <v>85</v>
      </c>
      <c r="B52" s="27" t="n">
        <f aca="false">MIN(C43:O43)</f>
        <v>497.31</v>
      </c>
    </row>
    <row r="53" customFormat="false" ht="15" hidden="false" customHeight="false" outlineLevel="0" collapsed="false">
      <c r="A53" s="25" t="s">
        <v>86</v>
      </c>
      <c r="B53" s="30" t="n">
        <f aca="false">INDEX(C14:O14,MATCH(B52,C43:O43,0))</f>
        <v>9</v>
      </c>
    </row>
    <row r="54" customFormat="false" ht="15" hidden="false" customHeight="false" outlineLevel="0" collapsed="false">
      <c r="A54" s="25" t="s">
        <v>87</v>
      </c>
      <c r="B54" s="30" t="n">
        <f aca="false">COUNTIF(C49:O49,"&lt;&gt;OK")</f>
        <v>3</v>
      </c>
    </row>
    <row r="55" customFormat="false" ht="15" hidden="false" customHeight="false" outlineLevel="0" collapsed="false">
      <c r="A55" s="25" t="s">
        <v>88</v>
      </c>
      <c r="B55" s="31" t="n">
        <f aca="false">SUM(C22:O22)-SUM(C24:O24)</f>
        <v>1117.1625</v>
      </c>
    </row>
    <row r="56" customFormat="false" ht="15" hidden="false" customHeight="false" outlineLevel="0" collapsed="false">
      <c r="A56" s="25" t="s">
        <v>89</v>
      </c>
      <c r="B56" s="31" t="n">
        <f aca="false">P21</f>
        <v>191.65</v>
      </c>
    </row>
    <row r="57" customFormat="false" ht="15" hidden="false" customHeight="false" outlineLevel="0" collapsed="false">
      <c r="A57" s="25" t="s">
        <v>90</v>
      </c>
      <c r="B57" s="31" t="n">
        <f aca="false">(P17+P19)*$B$11/(1+$B$11)</f>
        <v>508.778908418131</v>
      </c>
      <c r="C57" s="2" t="s">
        <v>91</v>
      </c>
    </row>
  </sheetData>
  <mergeCells count="1">
    <mergeCell ref="A3:P3"/>
  </mergeCells>
  <conditionalFormatting sqref="C49:O49">
    <cfRule type="cellIs" priority="2" operator="notEqual" aboveAverage="0" equalAverage="0" bottom="0" percent="0" rank="0" text="" dxfId="0">
      <formula>"OK"</formula>
    </cfRule>
  </conditionalFormatting>
  <conditionalFormatting sqref="C43:O43">
    <cfRule type="expression" priority="3" aboveAverage="0" equalAverage="0" bottom="0" percent="0" rank="0" text="" dxfId="0">
      <formula>C43&lt;C47</formula>
    </cfRule>
  </conditionalFormatting>
  <dataValidations count="1">
    <dataValidation allowBlank="false" error="Entier entre 0 et 4 semaines" errorStyle="stop" errorTitle="Délai PSP" operator="between" showDropDown="false" showErrorMessage="true" showInputMessage="false" sqref="B10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15" min="3" style="0" width="12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3" customFormat="false" ht="25.5" hidden="false" customHeight="true" outlineLevel="0" collapsed="false">
      <c r="A3" s="11" t="s">
        <v>28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15" hidden="false" customHeight="false" outlineLevel="0" collapsed="false">
      <c r="A4" s="12" t="s">
        <v>29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5" hidden="false" customHeight="false" outlineLevel="0" collapsed="false">
      <c r="A5" s="14" t="s">
        <v>30</v>
      </c>
      <c r="B5" s="15"/>
      <c r="C5" s="2" t="s">
        <v>31</v>
      </c>
    </row>
    <row r="6" customFormat="false" ht="15" hidden="false" customHeight="false" outlineLevel="0" collapsed="false">
      <c r="A6" s="14" t="s">
        <v>32</v>
      </c>
      <c r="B6" s="16"/>
      <c r="C6" s="2" t="s">
        <v>33</v>
      </c>
    </row>
    <row r="7" customFormat="false" ht="15" hidden="false" customHeight="false" outlineLevel="0" collapsed="false">
      <c r="A7" s="14" t="s">
        <v>34</v>
      </c>
      <c r="B7" s="16"/>
      <c r="C7" s="2" t="s">
        <v>35</v>
      </c>
    </row>
    <row r="8" customFormat="false" ht="15" hidden="false" customHeight="false" outlineLevel="0" collapsed="false">
      <c r="A8" s="14" t="s">
        <v>36</v>
      </c>
      <c r="B8" s="17" t="n">
        <v>0.025</v>
      </c>
      <c r="C8" s="2" t="s">
        <v>37</v>
      </c>
    </row>
    <row r="9" customFormat="false" ht="15" hidden="false" customHeight="false" outlineLevel="0" collapsed="false">
      <c r="A9" s="14" t="s">
        <v>38</v>
      </c>
      <c r="B9" s="16" t="n">
        <v>0.3</v>
      </c>
      <c r="C9" s="2" t="s">
        <v>39</v>
      </c>
    </row>
    <row r="10" customFormat="false" ht="15" hidden="false" customHeight="false" outlineLevel="0" collapsed="false">
      <c r="A10" s="14" t="s">
        <v>40</v>
      </c>
      <c r="B10" s="18" t="n">
        <v>1</v>
      </c>
      <c r="C10" s="2" t="s">
        <v>41</v>
      </c>
    </row>
    <row r="11" customFormat="false" ht="15" hidden="false" customHeight="false" outlineLevel="0" collapsed="false">
      <c r="A11" s="14" t="s">
        <v>42</v>
      </c>
      <c r="B11" s="19" t="n">
        <v>0.081</v>
      </c>
      <c r="C11" s="2" t="s">
        <v>43</v>
      </c>
    </row>
    <row r="12" customFormat="false" ht="15" hidden="false" customHeight="false" outlineLevel="0" collapsed="false">
      <c r="A12" s="14" t="s">
        <v>44</v>
      </c>
      <c r="B12" s="16" t="n">
        <v>0</v>
      </c>
      <c r="C12" s="2" t="s">
        <v>45</v>
      </c>
    </row>
    <row r="13" customFormat="false" ht="15" hidden="false" customHeight="false" outlineLevel="0" collapsed="false">
      <c r="A13" s="12" t="s">
        <v>46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15" hidden="false" customHeight="false" outlineLevel="0" collapsed="false">
      <c r="A14" s="20" t="s">
        <v>47</v>
      </c>
      <c r="B14" s="20"/>
      <c r="C14" s="20" t="n">
        <v>1</v>
      </c>
      <c r="D14" s="20" t="n">
        <v>2</v>
      </c>
      <c r="E14" s="20" t="n">
        <v>3</v>
      </c>
      <c r="F14" s="20" t="n">
        <v>4</v>
      </c>
      <c r="G14" s="20" t="n">
        <v>5</v>
      </c>
      <c r="H14" s="20" t="n">
        <v>6</v>
      </c>
      <c r="I14" s="20" t="n">
        <v>7</v>
      </c>
      <c r="J14" s="20" t="n">
        <v>8</v>
      </c>
      <c r="K14" s="20" t="n">
        <v>9</v>
      </c>
      <c r="L14" s="20" t="n">
        <v>10</v>
      </c>
      <c r="M14" s="20" t="n">
        <v>11</v>
      </c>
      <c r="N14" s="20" t="n">
        <v>12</v>
      </c>
      <c r="O14" s="20" t="n">
        <v>13</v>
      </c>
      <c r="P14" s="20" t="s">
        <v>48</v>
      </c>
    </row>
    <row r="15" customFormat="false" ht="15" hidden="false" customHeight="false" outlineLevel="0" collapsed="false">
      <c r="A15" s="2" t="s">
        <v>49</v>
      </c>
      <c r="C15" s="21" t="str">
        <f aca="false">IF($B$5="","",$B$5+7*(C$14-1))</f>
        <v/>
      </c>
      <c r="D15" s="21" t="str">
        <f aca="false">IF($B$5="","",$B$5+7*(D$14-1))</f>
        <v/>
      </c>
      <c r="E15" s="21" t="str">
        <f aca="false">IF($B$5="","",$B$5+7*(E$14-1))</f>
        <v/>
      </c>
      <c r="F15" s="21" t="str">
        <f aca="false">IF($B$5="","",$B$5+7*(F$14-1))</f>
        <v/>
      </c>
      <c r="G15" s="21" t="str">
        <f aca="false">IF($B$5="","",$B$5+7*(G$14-1))</f>
        <v/>
      </c>
      <c r="H15" s="21" t="str">
        <f aca="false">IF($B$5="","",$B$5+7*(H$14-1))</f>
        <v/>
      </c>
      <c r="I15" s="21" t="str">
        <f aca="false">IF($B$5="","",$B$5+7*(I$14-1))</f>
        <v/>
      </c>
      <c r="J15" s="21" t="str">
        <f aca="false">IF($B$5="","",$B$5+7*(J$14-1))</f>
        <v/>
      </c>
      <c r="K15" s="21" t="str">
        <f aca="false">IF($B$5="","",$B$5+7*(K$14-1))</f>
        <v/>
      </c>
      <c r="L15" s="21" t="str">
        <f aca="false">IF($B$5="","",$B$5+7*(L$14-1))</f>
        <v/>
      </c>
      <c r="M15" s="21" t="str">
        <f aca="false">IF($B$5="","",$B$5+7*(M$14-1))</f>
        <v/>
      </c>
      <c r="N15" s="21" t="str">
        <f aca="false">IF($B$5="","",$B$5+7*(N$14-1))</f>
        <v/>
      </c>
      <c r="O15" s="21" t="str">
        <f aca="false">IF($B$5="","",$B$5+7*(O$14-1))</f>
        <v/>
      </c>
    </row>
    <row r="16" customFormat="false" ht="15" hidden="false" customHeight="false" outlineLevel="0" collapsed="false">
      <c r="A16" s="2" t="s">
        <v>50</v>
      </c>
      <c r="C16" s="21" t="str">
        <f aca="false">IF($B$5="","",C15+6)</f>
        <v/>
      </c>
      <c r="D16" s="21" t="str">
        <f aca="false">IF($B$5="","",D15+6)</f>
        <v/>
      </c>
      <c r="E16" s="21" t="str">
        <f aca="false">IF($B$5="","",E15+6)</f>
        <v/>
      </c>
      <c r="F16" s="21" t="str">
        <f aca="false">IF($B$5="","",F15+6)</f>
        <v/>
      </c>
      <c r="G16" s="21" t="str">
        <f aca="false">IF($B$5="","",G15+6)</f>
        <v/>
      </c>
      <c r="H16" s="21" t="str">
        <f aca="false">IF($B$5="","",H15+6)</f>
        <v/>
      </c>
      <c r="I16" s="21" t="str">
        <f aca="false">IF($B$5="","",I15+6)</f>
        <v/>
      </c>
      <c r="J16" s="21" t="str">
        <f aca="false">IF($B$5="","",J15+6)</f>
        <v/>
      </c>
      <c r="K16" s="21" t="str">
        <f aca="false">IF($B$5="","",K15+6)</f>
        <v/>
      </c>
      <c r="L16" s="21" t="str">
        <f aca="false">IF($B$5="","",L15+6)</f>
        <v/>
      </c>
      <c r="M16" s="21" t="str">
        <f aca="false">IF($B$5="","",M15+6)</f>
        <v/>
      </c>
      <c r="N16" s="21" t="str">
        <f aca="false">IF($B$5="","",N15+6)</f>
        <v/>
      </c>
      <c r="O16" s="21" t="str">
        <f aca="false">IF($B$5="","",O15+6)</f>
        <v/>
      </c>
    </row>
    <row r="17" customFormat="false" ht="15" hidden="false" customHeight="false" outlineLevel="0" collapsed="false">
      <c r="A17" s="14" t="s">
        <v>51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2" t="n">
        <f aca="false">SUM(C17:O17)</f>
        <v>0</v>
      </c>
    </row>
    <row r="18" customFormat="false" ht="15" hidden="false" customHeight="false" outlineLevel="0" collapsed="false">
      <c r="A18" s="14" t="s">
        <v>52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3" t="n">
        <f aca="false">SUM(C18:O18)</f>
        <v>0</v>
      </c>
    </row>
    <row r="19" customFormat="false" ht="15" hidden="false" customHeight="false" outlineLevel="0" collapsed="false">
      <c r="A19" s="14" t="s">
        <v>53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2" t="n">
        <f aca="false">SUM(C19:O19)</f>
        <v>0</v>
      </c>
    </row>
    <row r="20" customFormat="false" ht="15" hidden="false" customHeight="false" outlineLevel="0" collapsed="false">
      <c r="A20" s="14" t="s">
        <v>54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3" t="n">
        <f aca="false">SUM(C20:O20)</f>
        <v>0</v>
      </c>
    </row>
    <row r="21" customFormat="false" ht="15" hidden="false" customHeight="false" outlineLevel="0" collapsed="false">
      <c r="A21" s="14" t="s">
        <v>55</v>
      </c>
      <c r="C21" s="24" t="n">
        <f aca="false">(C17+C19)*$B$8+(C18+C20)*$B$9</f>
        <v>0</v>
      </c>
      <c r="D21" s="24" t="n">
        <f aca="false">(D17+D19)*$B$8+(D18+D20)*$B$9</f>
        <v>0</v>
      </c>
      <c r="E21" s="24" t="n">
        <f aca="false">(E17+E19)*$B$8+(E18+E20)*$B$9</f>
        <v>0</v>
      </c>
      <c r="F21" s="24" t="n">
        <f aca="false">(F17+F19)*$B$8+(F18+F20)*$B$9</f>
        <v>0</v>
      </c>
      <c r="G21" s="24" t="n">
        <f aca="false">(G17+G19)*$B$8+(G18+G20)*$B$9</f>
        <v>0</v>
      </c>
      <c r="H21" s="24" t="n">
        <f aca="false">(H17+H19)*$B$8+(H18+H20)*$B$9</f>
        <v>0</v>
      </c>
      <c r="I21" s="24" t="n">
        <f aca="false">(I17+I19)*$B$8+(I18+I20)*$B$9</f>
        <v>0</v>
      </c>
      <c r="J21" s="24" t="n">
        <f aca="false">(J17+J19)*$B$8+(J18+J20)*$B$9</f>
        <v>0</v>
      </c>
      <c r="K21" s="24" t="n">
        <f aca="false">(K17+K19)*$B$8+(K18+K20)*$B$9</f>
        <v>0</v>
      </c>
      <c r="L21" s="24" t="n">
        <f aca="false">(L17+L19)*$B$8+(L18+L20)*$B$9</f>
        <v>0</v>
      </c>
      <c r="M21" s="24" t="n">
        <f aca="false">(M17+M19)*$B$8+(M18+M20)*$B$9</f>
        <v>0</v>
      </c>
      <c r="N21" s="24" t="n">
        <f aca="false">(N17+N19)*$B$8+(N18+N20)*$B$9</f>
        <v>0</v>
      </c>
      <c r="O21" s="24" t="n">
        <f aca="false">(O17+O19)*$B$8+(O18+O20)*$B$9</f>
        <v>0</v>
      </c>
      <c r="P21" s="22" t="n">
        <f aca="false">SUM(C21:O21)</f>
        <v>0</v>
      </c>
    </row>
    <row r="22" customFormat="false" ht="15" hidden="false" customHeight="false" outlineLevel="0" collapsed="false">
      <c r="A22" s="14" t="s">
        <v>56</v>
      </c>
      <c r="C22" s="24" t="n">
        <f aca="false">C17+C19-C21</f>
        <v>0</v>
      </c>
      <c r="D22" s="24" t="n">
        <f aca="false">D17+D19-D21</f>
        <v>0</v>
      </c>
      <c r="E22" s="24" t="n">
        <f aca="false">E17+E19-E21</f>
        <v>0</v>
      </c>
      <c r="F22" s="24" t="n">
        <f aca="false">F17+F19-F21</f>
        <v>0</v>
      </c>
      <c r="G22" s="24" t="n">
        <f aca="false">G17+G19-G21</f>
        <v>0</v>
      </c>
      <c r="H22" s="24" t="n">
        <f aca="false">H17+H19-H21</f>
        <v>0</v>
      </c>
      <c r="I22" s="24" t="n">
        <f aca="false">I17+I19-I21</f>
        <v>0</v>
      </c>
      <c r="J22" s="24" t="n">
        <f aca="false">J17+J19-J21</f>
        <v>0</v>
      </c>
      <c r="K22" s="24" t="n">
        <f aca="false">K17+K19-K21</f>
        <v>0</v>
      </c>
      <c r="L22" s="24" t="n">
        <f aca="false">L17+L19-L21</f>
        <v>0</v>
      </c>
      <c r="M22" s="24" t="n">
        <f aca="false">M17+M19-M21</f>
        <v>0</v>
      </c>
      <c r="N22" s="24" t="n">
        <f aca="false">N17+N19-N21</f>
        <v>0</v>
      </c>
      <c r="O22" s="24" t="n">
        <f aca="false">O17+O19-O21</f>
        <v>0</v>
      </c>
      <c r="P22" s="22" t="n">
        <f aca="false">SUM(C22:O22)</f>
        <v>0</v>
      </c>
    </row>
    <row r="23" customFormat="false" ht="15" hidden="false" customHeight="false" outlineLevel="0" collapsed="false">
      <c r="A23" s="12" t="s">
        <v>57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15" hidden="false" customHeight="false" outlineLevel="0" collapsed="false">
      <c r="A24" s="14" t="s">
        <v>58</v>
      </c>
      <c r="C24" s="24" t="n">
        <f aca="false">IF(C$14-$B$10&gt;=1,INDEX($C$22:$O$22,C$14-$B$10),0)</f>
        <v>0</v>
      </c>
      <c r="D24" s="24" t="n">
        <f aca="false">IF(D$14-$B$10&gt;=1,INDEX($C$22:$O$22,D$14-$B$10),0)</f>
        <v>0</v>
      </c>
      <c r="E24" s="24" t="n">
        <f aca="false">IF(E$14-$B$10&gt;=1,INDEX($C$22:$O$22,E$14-$B$10),0)</f>
        <v>0</v>
      </c>
      <c r="F24" s="24" t="n">
        <f aca="false">IF(F$14-$B$10&gt;=1,INDEX($C$22:$O$22,F$14-$B$10),0)</f>
        <v>0</v>
      </c>
      <c r="G24" s="24" t="n">
        <f aca="false">IF(G$14-$B$10&gt;=1,INDEX($C$22:$O$22,G$14-$B$10),0)</f>
        <v>0</v>
      </c>
      <c r="H24" s="24" t="n">
        <f aca="false">IF(H$14-$B$10&gt;=1,INDEX($C$22:$O$22,H$14-$B$10),0)</f>
        <v>0</v>
      </c>
      <c r="I24" s="24" t="n">
        <f aca="false">IF(I$14-$B$10&gt;=1,INDEX($C$22:$O$22,I$14-$B$10),0)</f>
        <v>0</v>
      </c>
      <c r="J24" s="24" t="n">
        <f aca="false">IF(J$14-$B$10&gt;=1,INDEX($C$22:$O$22,J$14-$B$10),0)</f>
        <v>0</v>
      </c>
      <c r="K24" s="24" t="n">
        <f aca="false">IF(K$14-$B$10&gt;=1,INDEX($C$22:$O$22,K$14-$B$10),0)</f>
        <v>0</v>
      </c>
      <c r="L24" s="24" t="n">
        <f aca="false">IF(L$14-$B$10&gt;=1,INDEX($C$22:$O$22,L$14-$B$10),0)</f>
        <v>0</v>
      </c>
      <c r="M24" s="24" t="n">
        <f aca="false">IF(M$14-$B$10&gt;=1,INDEX($C$22:$O$22,M$14-$B$10),0)</f>
        <v>0</v>
      </c>
      <c r="N24" s="24" t="n">
        <f aca="false">IF(N$14-$B$10&gt;=1,INDEX($C$22:$O$22,N$14-$B$10),0)</f>
        <v>0</v>
      </c>
      <c r="O24" s="24" t="n">
        <f aca="false">IF(O$14-$B$10&gt;=1,INDEX($C$22:$O$22,O$14-$B$10),0)</f>
        <v>0</v>
      </c>
      <c r="P24" s="22" t="n">
        <f aca="false">SUM(C24:O24)</f>
        <v>0</v>
      </c>
    </row>
    <row r="25" customFormat="false" ht="15" hidden="false" customHeight="false" outlineLevel="0" collapsed="false">
      <c r="A25" s="14" t="s">
        <v>59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2" t="n">
        <f aca="false">SUM(C25:O25)</f>
        <v>0</v>
      </c>
    </row>
    <row r="26" customFormat="false" ht="15" hidden="false" customHeight="false" outlineLevel="0" collapsed="false">
      <c r="A26" s="14" t="s">
        <v>60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 t="n">
        <f aca="false">SUM(C26:O26)</f>
        <v>0</v>
      </c>
    </row>
    <row r="27" customFormat="false" ht="15" hidden="false" customHeight="false" outlineLevel="0" collapsed="false">
      <c r="A27" s="25" t="s">
        <v>61</v>
      </c>
      <c r="C27" s="22" t="n">
        <f aca="false">C24+C25+C26</f>
        <v>0</v>
      </c>
      <c r="D27" s="22" t="n">
        <f aca="false">D24+D25+D26</f>
        <v>0</v>
      </c>
      <c r="E27" s="22" t="n">
        <f aca="false">E24+E25+E26</f>
        <v>0</v>
      </c>
      <c r="F27" s="22" t="n">
        <f aca="false">F24+F25+F26</f>
        <v>0</v>
      </c>
      <c r="G27" s="22" t="n">
        <f aca="false">G24+G25+G26</f>
        <v>0</v>
      </c>
      <c r="H27" s="22" t="n">
        <f aca="false">H24+H25+H26</f>
        <v>0</v>
      </c>
      <c r="I27" s="22" t="n">
        <f aca="false">I24+I25+I26</f>
        <v>0</v>
      </c>
      <c r="J27" s="22" t="n">
        <f aca="false">J24+J25+J26</f>
        <v>0</v>
      </c>
      <c r="K27" s="22" t="n">
        <f aca="false">K24+K25+K26</f>
        <v>0</v>
      </c>
      <c r="L27" s="22" t="n">
        <f aca="false">L24+L25+L26</f>
        <v>0</v>
      </c>
      <c r="M27" s="22" t="n">
        <f aca="false">M24+M25+M26</f>
        <v>0</v>
      </c>
      <c r="N27" s="22" t="n">
        <f aca="false">N24+N25+N26</f>
        <v>0</v>
      </c>
      <c r="O27" s="22" t="n">
        <f aca="false">O24+O25+O26</f>
        <v>0</v>
      </c>
      <c r="P27" s="22" t="n">
        <f aca="false">SUM(C27:O27)</f>
        <v>0</v>
      </c>
    </row>
    <row r="28" customFormat="false" ht="15" hidden="false" customHeight="false" outlineLevel="0" collapsed="false">
      <c r="A28" s="12" t="s">
        <v>62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customFormat="false" ht="15" hidden="false" customHeight="false" outlineLevel="0" collapsed="false">
      <c r="A29" s="14" t="s">
        <v>63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22" t="n">
        <f aca="false">SUM(C29:O29)</f>
        <v>0</v>
      </c>
    </row>
    <row r="30" customFormat="false" ht="15" hidden="false" customHeight="false" outlineLevel="0" collapsed="false">
      <c r="A30" s="14" t="s">
        <v>64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2" t="n">
        <f aca="false">SUM(C30:O30)</f>
        <v>0</v>
      </c>
    </row>
    <row r="31" customFormat="false" ht="15" hidden="false" customHeight="false" outlineLevel="0" collapsed="false">
      <c r="A31" s="14" t="s">
        <v>65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2" t="n">
        <f aca="false">SUM(C31:O31)</f>
        <v>0</v>
      </c>
    </row>
    <row r="32" customFormat="false" ht="15" hidden="false" customHeight="false" outlineLevel="0" collapsed="false">
      <c r="A32" s="14" t="s">
        <v>66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22" t="n">
        <f aca="false">SUM(C32:O32)</f>
        <v>0</v>
      </c>
    </row>
    <row r="33" customFormat="false" ht="15" hidden="false" customHeight="false" outlineLevel="0" collapsed="false">
      <c r="A33" s="14" t="s">
        <v>67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22" t="n">
        <f aca="false">SUM(C33:O33)</f>
        <v>0</v>
      </c>
    </row>
    <row r="34" customFormat="false" ht="15" hidden="false" customHeight="false" outlineLevel="0" collapsed="false">
      <c r="A34" s="14" t="s">
        <v>68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22" t="n">
        <f aca="false">SUM(C34:O34)</f>
        <v>0</v>
      </c>
    </row>
    <row r="35" customFormat="false" ht="15" hidden="false" customHeight="false" outlineLevel="0" collapsed="false">
      <c r="A35" s="14" t="s">
        <v>69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22" t="n">
        <f aca="false">SUM(C35:O35)</f>
        <v>0</v>
      </c>
    </row>
    <row r="36" customFormat="false" ht="15" hidden="false" customHeight="false" outlineLevel="0" collapsed="false">
      <c r="A36" s="14" t="s">
        <v>70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22" t="n">
        <f aca="false">SUM(C36:O36)</f>
        <v>0</v>
      </c>
    </row>
    <row r="37" customFormat="false" ht="15" hidden="false" customHeight="false" outlineLevel="0" collapsed="false">
      <c r="A37" s="14" t="s">
        <v>71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22" t="n">
        <f aca="false">SUM(C37:O37)</f>
        <v>0</v>
      </c>
    </row>
    <row r="38" customFormat="false" ht="15" hidden="false" customHeight="false" outlineLevel="0" collapsed="false">
      <c r="A38" s="14" t="s">
        <v>72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2" t="n">
        <f aca="false">SUM(C38:O38)</f>
        <v>0</v>
      </c>
    </row>
    <row r="39" customFormat="false" ht="15" hidden="false" customHeight="false" outlineLevel="0" collapsed="false">
      <c r="A39" s="25" t="s">
        <v>73</v>
      </c>
      <c r="C39" s="22" t="n">
        <f aca="false">SUM(C29:C38)</f>
        <v>0</v>
      </c>
      <c r="D39" s="22" t="n">
        <f aca="false">SUM(D29:D38)</f>
        <v>0</v>
      </c>
      <c r="E39" s="22" t="n">
        <f aca="false">SUM(E29:E38)</f>
        <v>0</v>
      </c>
      <c r="F39" s="22" t="n">
        <f aca="false">SUM(F29:F38)</f>
        <v>0</v>
      </c>
      <c r="G39" s="22" t="n">
        <f aca="false">SUM(G29:G38)</f>
        <v>0</v>
      </c>
      <c r="H39" s="22" t="n">
        <f aca="false">SUM(H29:H38)</f>
        <v>0</v>
      </c>
      <c r="I39" s="22" t="n">
        <f aca="false">SUM(I29:I38)</f>
        <v>0</v>
      </c>
      <c r="J39" s="22" t="n">
        <f aca="false">SUM(J29:J38)</f>
        <v>0</v>
      </c>
      <c r="K39" s="22" t="n">
        <f aca="false">SUM(K29:K38)</f>
        <v>0</v>
      </c>
      <c r="L39" s="22" t="n">
        <f aca="false">SUM(L29:L38)</f>
        <v>0</v>
      </c>
      <c r="M39" s="22" t="n">
        <f aca="false">SUM(M29:M38)</f>
        <v>0</v>
      </c>
      <c r="N39" s="22" t="n">
        <f aca="false">SUM(N29:N38)</f>
        <v>0</v>
      </c>
      <c r="O39" s="22" t="n">
        <f aca="false">SUM(O29:O38)</f>
        <v>0</v>
      </c>
      <c r="P39" s="22" t="n">
        <f aca="false">SUM(C39:O39)</f>
        <v>0</v>
      </c>
    </row>
    <row r="40" customFormat="false" ht="15" hidden="false" customHeight="false" outlineLevel="0" collapsed="false">
      <c r="A40" s="12" t="s">
        <v>74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customFormat="false" ht="15" hidden="false" customHeight="false" outlineLevel="0" collapsed="false">
      <c r="A41" s="14" t="s">
        <v>75</v>
      </c>
      <c r="C41" s="24" t="n">
        <f aca="false">$B$6</f>
        <v>0</v>
      </c>
      <c r="D41" s="24" t="n">
        <f aca="false">C43</f>
        <v>0</v>
      </c>
      <c r="E41" s="24" t="n">
        <f aca="false">D43</f>
        <v>0</v>
      </c>
      <c r="F41" s="24" t="n">
        <f aca="false">E43</f>
        <v>0</v>
      </c>
      <c r="G41" s="24" t="n">
        <f aca="false">F43</f>
        <v>0</v>
      </c>
      <c r="H41" s="24" t="n">
        <f aca="false">G43</f>
        <v>0</v>
      </c>
      <c r="I41" s="24" t="n">
        <f aca="false">H43</f>
        <v>0</v>
      </c>
      <c r="J41" s="24" t="n">
        <f aca="false">I43</f>
        <v>0</v>
      </c>
      <c r="K41" s="24" t="n">
        <f aca="false">J43</f>
        <v>0</v>
      </c>
      <c r="L41" s="24" t="n">
        <f aca="false">K43</f>
        <v>0</v>
      </c>
      <c r="M41" s="24" t="n">
        <f aca="false">L43</f>
        <v>0</v>
      </c>
      <c r="N41" s="24" t="n">
        <f aca="false">M43</f>
        <v>0</v>
      </c>
      <c r="O41" s="24" t="n">
        <f aca="false">N43</f>
        <v>0</v>
      </c>
      <c r="P41" s="22" t="n">
        <f aca="false">C41</f>
        <v>0</v>
      </c>
    </row>
    <row r="42" customFormat="false" ht="15" hidden="false" customHeight="false" outlineLevel="0" collapsed="false">
      <c r="A42" s="14" t="s">
        <v>76</v>
      </c>
      <c r="C42" s="26" t="n">
        <f aca="false">C27-C39</f>
        <v>0</v>
      </c>
      <c r="D42" s="26" t="n">
        <f aca="false">D27-D39</f>
        <v>0</v>
      </c>
      <c r="E42" s="26" t="n">
        <f aca="false">E27-E39</f>
        <v>0</v>
      </c>
      <c r="F42" s="26" t="n">
        <f aca="false">F27-F39</f>
        <v>0</v>
      </c>
      <c r="G42" s="26" t="n">
        <f aca="false">G27-G39</f>
        <v>0</v>
      </c>
      <c r="H42" s="26" t="n">
        <f aca="false">H27-H39</f>
        <v>0</v>
      </c>
      <c r="I42" s="26" t="n">
        <f aca="false">I27-I39</f>
        <v>0</v>
      </c>
      <c r="J42" s="26" t="n">
        <f aca="false">J27-J39</f>
        <v>0</v>
      </c>
      <c r="K42" s="26" t="n">
        <f aca="false">K27-K39</f>
        <v>0</v>
      </c>
      <c r="L42" s="26" t="n">
        <f aca="false">L27-L39</f>
        <v>0</v>
      </c>
      <c r="M42" s="26" t="n">
        <f aca="false">M27-M39</f>
        <v>0</v>
      </c>
      <c r="N42" s="26" t="n">
        <f aca="false">N27-N39</f>
        <v>0</v>
      </c>
      <c r="O42" s="26" t="n">
        <f aca="false">O27-O39</f>
        <v>0</v>
      </c>
      <c r="P42" s="22" t="n">
        <f aca="false">SUM(C42:O42)</f>
        <v>0</v>
      </c>
    </row>
    <row r="43" customFormat="false" ht="15" hidden="false" customHeight="false" outlineLevel="0" collapsed="false">
      <c r="A43" s="25" t="s">
        <v>77</v>
      </c>
      <c r="C43" s="27" t="n">
        <f aca="false">C41+C42</f>
        <v>0</v>
      </c>
      <c r="D43" s="27" t="n">
        <f aca="false">D41+D42</f>
        <v>0</v>
      </c>
      <c r="E43" s="27" t="n">
        <f aca="false">E41+E42</f>
        <v>0</v>
      </c>
      <c r="F43" s="27" t="n">
        <f aca="false">F41+F42</f>
        <v>0</v>
      </c>
      <c r="G43" s="27" t="n">
        <f aca="false">G41+G42</f>
        <v>0</v>
      </c>
      <c r="H43" s="27" t="n">
        <f aca="false">H41+H42</f>
        <v>0</v>
      </c>
      <c r="I43" s="27" t="n">
        <f aca="false">I41+I42</f>
        <v>0</v>
      </c>
      <c r="J43" s="27" t="n">
        <f aca="false">J41+J42</f>
        <v>0</v>
      </c>
      <c r="K43" s="27" t="n">
        <f aca="false">K41+K42</f>
        <v>0</v>
      </c>
      <c r="L43" s="27" t="n">
        <f aca="false">L41+L42</f>
        <v>0</v>
      </c>
      <c r="M43" s="27" t="n">
        <f aca="false">M41+M42</f>
        <v>0</v>
      </c>
      <c r="N43" s="27" t="n">
        <f aca="false">N41+N42</f>
        <v>0</v>
      </c>
      <c r="O43" s="27" t="n">
        <f aca="false">O41+O42</f>
        <v>0</v>
      </c>
      <c r="P43" s="28" t="n">
        <f aca="false">O43</f>
        <v>0</v>
      </c>
    </row>
    <row r="44" customFormat="false" ht="15" hidden="false" customHeight="false" outlineLevel="0" collapsed="false">
      <c r="A44" s="12" t="s">
        <v>78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customFormat="false" ht="15" hidden="false" customHeight="false" outlineLevel="0" collapsed="false">
      <c r="A45" s="14" t="s">
        <v>79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2" t="n">
        <f aca="false">SUM(C45:O45)</f>
        <v>0</v>
      </c>
    </row>
    <row r="46" customFormat="false" ht="15" hidden="false" customHeight="false" outlineLevel="0" collapsed="false">
      <c r="A46" s="14" t="s">
        <v>80</v>
      </c>
      <c r="C46" s="24" t="n">
        <f aca="false">MAX(0,$B$12+C19-C45-C34)</f>
        <v>0</v>
      </c>
      <c r="D46" s="24" t="n">
        <f aca="false">MAX(0,C46+D19-D45-D34)</f>
        <v>0</v>
      </c>
      <c r="E46" s="24" t="n">
        <f aca="false">MAX(0,D46+E19-E45-E34)</f>
        <v>0</v>
      </c>
      <c r="F46" s="24" t="n">
        <f aca="false">MAX(0,E46+F19-F45-F34)</f>
        <v>0</v>
      </c>
      <c r="G46" s="24" t="n">
        <f aca="false">MAX(0,F46+G19-G45-G34)</f>
        <v>0</v>
      </c>
      <c r="H46" s="24" t="n">
        <f aca="false">MAX(0,G46+H19-H45-H34)</f>
        <v>0</v>
      </c>
      <c r="I46" s="24" t="n">
        <f aca="false">MAX(0,H46+I19-I45-I34)</f>
        <v>0</v>
      </c>
      <c r="J46" s="24" t="n">
        <f aca="false">MAX(0,I46+J19-J45-J34)</f>
        <v>0</v>
      </c>
      <c r="K46" s="24" t="n">
        <f aca="false">MAX(0,J46+K19-K45-K34)</f>
        <v>0</v>
      </c>
      <c r="L46" s="24" t="n">
        <f aca="false">MAX(0,K46+L19-L45-L34)</f>
        <v>0</v>
      </c>
      <c r="M46" s="24" t="n">
        <f aca="false">MAX(0,L46+M19-M45-M34)</f>
        <v>0</v>
      </c>
      <c r="N46" s="24" t="n">
        <f aca="false">MAX(0,M46+N19-N45-N34)</f>
        <v>0</v>
      </c>
      <c r="O46" s="24" t="n">
        <f aca="false">MAX(0,N46+O19-O45-O34)</f>
        <v>0</v>
      </c>
    </row>
    <row r="47" customFormat="false" ht="15" hidden="false" customHeight="false" outlineLevel="0" collapsed="false">
      <c r="A47" s="14" t="s">
        <v>81</v>
      </c>
      <c r="C47" s="24" t="n">
        <f aca="false">$B$7</f>
        <v>0</v>
      </c>
      <c r="D47" s="24" t="n">
        <f aca="false">$B$7</f>
        <v>0</v>
      </c>
      <c r="E47" s="24" t="n">
        <f aca="false">$B$7</f>
        <v>0</v>
      </c>
      <c r="F47" s="24" t="n">
        <f aca="false">$B$7</f>
        <v>0</v>
      </c>
      <c r="G47" s="24" t="n">
        <f aca="false">$B$7</f>
        <v>0</v>
      </c>
      <c r="H47" s="24" t="n">
        <f aca="false">$B$7</f>
        <v>0</v>
      </c>
      <c r="I47" s="24" t="n">
        <f aca="false">$B$7</f>
        <v>0</v>
      </c>
      <c r="J47" s="24" t="n">
        <f aca="false">$B$7</f>
        <v>0</v>
      </c>
      <c r="K47" s="24" t="n">
        <f aca="false">$B$7</f>
        <v>0</v>
      </c>
      <c r="L47" s="24" t="n">
        <f aca="false">$B$7</f>
        <v>0</v>
      </c>
      <c r="M47" s="24" t="n">
        <f aca="false">$B$7</f>
        <v>0</v>
      </c>
      <c r="N47" s="24" t="n">
        <f aca="false">$B$7</f>
        <v>0</v>
      </c>
      <c r="O47" s="24" t="n">
        <f aca="false">$B$7</f>
        <v>0</v>
      </c>
    </row>
    <row r="48" customFormat="false" ht="15" hidden="false" customHeight="false" outlineLevel="0" collapsed="false">
      <c r="A48" s="25" t="s">
        <v>82</v>
      </c>
      <c r="C48" s="28" t="n">
        <f aca="false">C43-C46-C47</f>
        <v>0</v>
      </c>
      <c r="D48" s="28" t="n">
        <f aca="false">D43-D46-D47</f>
        <v>0</v>
      </c>
      <c r="E48" s="28" t="n">
        <f aca="false">E43-E46-E47</f>
        <v>0</v>
      </c>
      <c r="F48" s="28" t="n">
        <f aca="false">F43-F46-F47</f>
        <v>0</v>
      </c>
      <c r="G48" s="28" t="n">
        <f aca="false">G43-G46-G47</f>
        <v>0</v>
      </c>
      <c r="H48" s="28" t="n">
        <f aca="false">H43-H46-H47</f>
        <v>0</v>
      </c>
      <c r="I48" s="28" t="n">
        <f aca="false">I43-I46-I47</f>
        <v>0</v>
      </c>
      <c r="J48" s="28" t="n">
        <f aca="false">J43-J46-J47</f>
        <v>0</v>
      </c>
      <c r="K48" s="28" t="n">
        <f aca="false">K43-K46-K47</f>
        <v>0</v>
      </c>
      <c r="L48" s="28" t="n">
        <f aca="false">L43-L46-L47</f>
        <v>0</v>
      </c>
      <c r="M48" s="28" t="n">
        <f aca="false">M43-M46-M47</f>
        <v>0</v>
      </c>
      <c r="N48" s="28" t="n">
        <f aca="false">N43-N46-N47</f>
        <v>0</v>
      </c>
      <c r="O48" s="28" t="n">
        <f aca="false">O43-O46-O47</f>
        <v>0</v>
      </c>
    </row>
    <row r="49" customFormat="false" ht="15" hidden="false" customHeight="false" outlineLevel="0" collapsed="false">
      <c r="A49" s="25" t="s">
        <v>83</v>
      </c>
      <c r="C49" s="29" t="str">
        <f aca="false">IF(C43&lt;0,"SOLDE NÉGATIF",IF(C43&lt;C47,"SOUS RÉSERVE MINI",IF(C48&lt;0,"PRÉCOMMANDES NON COUVERTES","OK")))</f>
        <v>OK</v>
      </c>
      <c r="D49" s="29" t="str">
        <f aca="false">IF(D43&lt;0,"SOLDE NÉGATIF",IF(D43&lt;D47,"SOUS RÉSERVE MINI",IF(D48&lt;0,"PRÉCOMMANDES NON COUVERTES","OK")))</f>
        <v>OK</v>
      </c>
      <c r="E49" s="29" t="str">
        <f aca="false">IF(E43&lt;0,"SOLDE NÉGATIF",IF(E43&lt;E47,"SOUS RÉSERVE MINI",IF(E48&lt;0,"PRÉCOMMANDES NON COUVERTES","OK")))</f>
        <v>OK</v>
      </c>
      <c r="F49" s="29" t="str">
        <f aca="false">IF(F43&lt;0,"SOLDE NÉGATIF",IF(F43&lt;F47,"SOUS RÉSERVE MINI",IF(F48&lt;0,"PRÉCOMMANDES NON COUVERTES","OK")))</f>
        <v>OK</v>
      </c>
      <c r="G49" s="29" t="str">
        <f aca="false">IF(G43&lt;0,"SOLDE NÉGATIF",IF(G43&lt;G47,"SOUS RÉSERVE MINI",IF(G48&lt;0,"PRÉCOMMANDES NON COUVERTES","OK")))</f>
        <v>OK</v>
      </c>
      <c r="H49" s="29" t="str">
        <f aca="false">IF(H43&lt;0,"SOLDE NÉGATIF",IF(H43&lt;H47,"SOUS RÉSERVE MINI",IF(H48&lt;0,"PRÉCOMMANDES NON COUVERTES","OK")))</f>
        <v>OK</v>
      </c>
      <c r="I49" s="29" t="str">
        <f aca="false">IF(I43&lt;0,"SOLDE NÉGATIF",IF(I43&lt;I47,"SOUS RÉSERVE MINI",IF(I48&lt;0,"PRÉCOMMANDES NON COUVERTES","OK")))</f>
        <v>OK</v>
      </c>
      <c r="J49" s="29" t="str">
        <f aca="false">IF(J43&lt;0,"SOLDE NÉGATIF",IF(J43&lt;J47,"SOUS RÉSERVE MINI",IF(J48&lt;0,"PRÉCOMMANDES NON COUVERTES","OK")))</f>
        <v>OK</v>
      </c>
      <c r="K49" s="29" t="str">
        <f aca="false">IF(K43&lt;0,"SOLDE NÉGATIF",IF(K43&lt;K47,"SOUS RÉSERVE MINI",IF(K48&lt;0,"PRÉCOMMANDES NON COUVERTES","OK")))</f>
        <v>OK</v>
      </c>
      <c r="L49" s="29" t="str">
        <f aca="false">IF(L43&lt;0,"SOLDE NÉGATIF",IF(L43&lt;L47,"SOUS RÉSERVE MINI",IF(L48&lt;0,"PRÉCOMMANDES NON COUVERTES","OK")))</f>
        <v>OK</v>
      </c>
      <c r="M49" s="29" t="str">
        <f aca="false">IF(M43&lt;0,"SOLDE NÉGATIF",IF(M43&lt;M47,"SOUS RÉSERVE MINI",IF(M48&lt;0,"PRÉCOMMANDES NON COUVERTES","OK")))</f>
        <v>OK</v>
      </c>
      <c r="N49" s="29" t="str">
        <f aca="false">IF(N43&lt;0,"SOLDE NÉGATIF",IF(N43&lt;N47,"SOUS RÉSERVE MINI",IF(N48&lt;0,"PRÉCOMMANDES NON COUVERTES","OK")))</f>
        <v>OK</v>
      </c>
      <c r="O49" s="29" t="str">
        <f aca="false">IF(O43&lt;0,"SOLDE NÉGATIF",IF(O43&lt;O47,"SOUS RÉSERVE MINI",IF(O48&lt;0,"PRÉCOMMANDES NON COUVERTES","OK")))</f>
        <v>OK</v>
      </c>
    </row>
    <row r="51" customFormat="false" ht="15" hidden="false" customHeight="false" outlineLevel="0" collapsed="false">
      <c r="A51" s="12" t="s">
        <v>84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customFormat="false" ht="15" hidden="false" customHeight="false" outlineLevel="0" collapsed="false">
      <c r="A52" s="25" t="s">
        <v>85</v>
      </c>
      <c r="B52" s="27" t="n">
        <f aca="false">MIN(C43:O43)</f>
        <v>0</v>
      </c>
    </row>
    <row r="53" customFormat="false" ht="15" hidden="false" customHeight="false" outlineLevel="0" collapsed="false">
      <c r="A53" s="25" t="s">
        <v>86</v>
      </c>
      <c r="B53" s="30" t="n">
        <f aca="false">INDEX(C14:O14,MATCH(B52,C43:O43,0))</f>
        <v>1</v>
      </c>
    </row>
    <row r="54" customFormat="false" ht="15" hidden="false" customHeight="false" outlineLevel="0" collapsed="false">
      <c r="A54" s="25" t="s">
        <v>87</v>
      </c>
      <c r="B54" s="30" t="n">
        <f aca="false">COUNTIF(C49:O49,"&lt;&gt;OK")</f>
        <v>0</v>
      </c>
    </row>
    <row r="55" customFormat="false" ht="15" hidden="false" customHeight="false" outlineLevel="0" collapsed="false">
      <c r="A55" s="25" t="s">
        <v>88</v>
      </c>
      <c r="B55" s="31" t="n">
        <f aca="false">SUM(C22:O22)-SUM(C24:O24)</f>
        <v>0</v>
      </c>
    </row>
    <row r="56" customFormat="false" ht="15" hidden="false" customHeight="false" outlineLevel="0" collapsed="false">
      <c r="A56" s="25" t="s">
        <v>89</v>
      </c>
      <c r="B56" s="31" t="n">
        <f aca="false">P21</f>
        <v>0</v>
      </c>
    </row>
    <row r="57" customFormat="false" ht="15" hidden="false" customHeight="false" outlineLevel="0" collapsed="false">
      <c r="A57" s="25" t="s">
        <v>90</v>
      </c>
      <c r="B57" s="31" t="n">
        <f aca="false">(P17+P19)*$B$11/(1+$B$11)</f>
        <v>0</v>
      </c>
      <c r="C57" s="2" t="s">
        <v>91</v>
      </c>
    </row>
  </sheetData>
  <mergeCells count="1">
    <mergeCell ref="A3:P3"/>
  </mergeCells>
  <conditionalFormatting sqref="C49:O49">
    <cfRule type="cellIs" priority="2" operator="notEqual" aboveAverage="0" equalAverage="0" bottom="0" percent="0" rank="0" text="" dxfId="0">
      <formula>"OK"</formula>
    </cfRule>
  </conditionalFormatting>
  <conditionalFormatting sqref="C43:O43">
    <cfRule type="expression" priority="3" aboveAverage="0" equalAverage="0" bottom="0" percent="0" rank="0" text="" dxfId="0">
      <formula>C43&lt;C47</formula>
    </cfRule>
  </conditionalFormatting>
  <dataValidations count="1">
    <dataValidation allowBlank="false" error="Entier entre 0 et 4 semaines" errorStyle="stop" errorTitle="Délai PSP" operator="between" showDropDown="false" showErrorMessage="true" showInputMessage="false" sqref="B10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2026-10-04T20:48:41Z</dcterms:created>
  <dc:creator>openpyxl</dc:creator>
  <dc:description/>
  <dc:language>en-US</dc:language>
  <cp:lastModifiedBy/>
  <dcterms:modified xsi:type="dcterms:W3CDTF">2026-10-04T20:48:41Z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